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"/>
    </mc:Choice>
  </mc:AlternateContent>
  <xr:revisionPtr revIDLastSave="0" documentId="13_ncr:1_{36355C6A-F861-4E26-ADFC-E217BF652CD1}" xr6:coauthVersionLast="47" xr6:coauthVersionMax="47" xr10:uidLastSave="{00000000-0000-0000-0000-000000000000}"/>
  <bookViews>
    <workbookView xWindow="-110" yWindow="-110" windowWidth="19420" windowHeight="10300" xr2:uid="{B13063FB-9815-49DD-8A8D-321DA24EE69F}"/>
  </bookViews>
  <sheets>
    <sheet name="Incident_Summary" sheetId="1" r:id="rId1"/>
    <sheet name="DQ_Health_Check_Log" sheetId="2" r:id="rId2"/>
    <sheet name="Prevention_KPI" sheetId="4" r:id="rId3"/>
    <sheet name="Problem_Tracker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4" l="1"/>
  <c r="F26" i="4"/>
  <c r="F25" i="4"/>
  <c r="F24" i="4"/>
  <c r="F23" i="4"/>
  <c r="F22" i="4"/>
  <c r="F21" i="4"/>
  <c r="H17" i="4"/>
  <c r="G17" i="4"/>
  <c r="F17" i="4"/>
  <c r="E17" i="4"/>
  <c r="D17" i="4"/>
  <c r="C17" i="4"/>
  <c r="B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D9" i="4"/>
  <c r="E9" i="4" s="1"/>
  <c r="E8" i="4"/>
  <c r="D8" i="4"/>
  <c r="E7" i="4"/>
  <c r="D7" i="4"/>
  <c r="E6" i="4"/>
  <c r="D6" i="4"/>
  <c r="E5" i="4"/>
  <c r="D5" i="4"/>
  <c r="N5" i="3"/>
  <c r="K9" i="2"/>
  <c r="K8" i="2"/>
  <c r="K7" i="2"/>
  <c r="K6" i="2"/>
  <c r="K5" i="2"/>
  <c r="K4" i="2"/>
  <c r="K3" i="2"/>
  <c r="B32" i="1"/>
  <c r="B31" i="1"/>
  <c r="B30" i="1"/>
  <c r="D20" i="1"/>
  <c r="D19" i="1"/>
  <c r="D18" i="1"/>
  <c r="D17" i="1"/>
  <c r="J13" i="1"/>
  <c r="H13" i="1"/>
  <c r="G13" i="1"/>
  <c r="F13" i="1"/>
  <c r="E13" i="1"/>
  <c r="D13" i="1"/>
  <c r="C13" i="1"/>
  <c r="B13" i="1"/>
  <c r="H12" i="1"/>
  <c r="G12" i="1"/>
  <c r="D12" i="1"/>
  <c r="H11" i="1"/>
  <c r="G11" i="1"/>
  <c r="D11" i="1"/>
  <c r="H10" i="1"/>
  <c r="G10" i="1"/>
  <c r="D10" i="1"/>
  <c r="H9" i="1"/>
  <c r="G9" i="1"/>
  <c r="D9" i="1"/>
  <c r="H8" i="1"/>
  <c r="G8" i="1"/>
  <c r="D8" i="1"/>
  <c r="H7" i="1"/>
  <c r="G7" i="1"/>
  <c r="D7" i="1"/>
  <c r="H6" i="1"/>
  <c r="G6" i="1"/>
  <c r="D6" i="1"/>
  <c r="H5" i="1"/>
  <c r="G5" i="1"/>
  <c r="D5" i="1"/>
</calcChain>
</file>

<file path=xl/sharedStrings.xml><?xml version="1.0" encoding="utf-8"?>
<sst xmlns="http://schemas.openxmlformats.org/spreadsheetml/2006/main" count="212" uniqueCount="159">
  <si>
    <t>Incident Summary -- Service Desk Plus Feed</t>
  </si>
  <si>
    <t>Period: [Month / Year]</t>
  </si>
  <si>
    <t>Last Updated: [Date]</t>
  </si>
  <si>
    <t>Dimension / Category</t>
  </si>
  <si>
    <t>DE - Resolved</t>
  </si>
  <si>
    <t>DE - Total</t>
  </si>
  <si>
    <t>VLC - Resolved</t>
  </si>
  <si>
    <t>VLC - Total</t>
  </si>
  <si>
    <t>Grand Total</t>
  </si>
  <si>
    <t>Proactive Catch (Y/N)</t>
  </si>
  <si>
    <t>Avg Resolution Days</t>
  </si>
  <si>
    <t>Completeness</t>
  </si>
  <si>
    <t>-</t>
  </si>
  <si>
    <t>Consistency</t>
  </si>
  <si>
    <t>Integrity</t>
  </si>
  <si>
    <t>Timeliness</t>
  </si>
  <si>
    <t>Freshness</t>
  </si>
  <si>
    <t>Validity</t>
  </si>
  <si>
    <t>Accuracy</t>
  </si>
  <si>
    <t>Other</t>
  </si>
  <si>
    <t>TOTAL</t>
  </si>
  <si>
    <t>BY STATUS</t>
  </si>
  <si>
    <t>Status</t>
  </si>
  <si>
    <t>DE Count</t>
  </si>
  <si>
    <t>VLC Count</t>
  </si>
  <si>
    <t>Total</t>
  </si>
  <si>
    <t>Open</t>
  </si>
  <si>
    <t>In Progress</t>
  </si>
  <si>
    <t>Resolved</t>
  </si>
  <si>
    <t>Problem Linked</t>
  </si>
  <si>
    <t>BY SEVERITY</t>
  </si>
  <si>
    <t>Severity</t>
  </si>
  <si>
    <t>Description</t>
  </si>
  <si>
    <t>Count</t>
  </si>
  <si>
    <t>P1</t>
  </si>
  <si>
    <t>User impacted - urgent, same-day resolution required</t>
  </si>
  <si>
    <t>P2</t>
  </si>
  <si>
    <t>Caught proactively - high impact if not fixed same day</t>
  </si>
  <si>
    <t>P3</t>
  </si>
  <si>
    <t>Moderate impact - resolve within 3 business days</t>
  </si>
  <si>
    <t>P4</t>
  </si>
  <si>
    <t>Low impact / informational - resolve within 1 week</t>
  </si>
  <si>
    <t>PREVENTION EFFECTIVENESS (CURRENT PERIOD)</t>
  </si>
  <si>
    <t>Proactively Caught (Col I = Y)</t>
  </si>
  <si>
    <t>User Reported (Col I = N)</t>
  </si>
  <si>
    <t>Prevention Rate</t>
  </si>
  <si>
    <t>Target: &gt;70% of issues caught proactively. Update Col I (Y/N) in category table above after each incident.</t>
  </si>
  <si>
    <t>Data Quality Health Check Log</t>
  </si>
  <si>
    <t>Check Date</t>
  </si>
  <si>
    <t>DataMart Stream</t>
  </si>
  <si>
    <t>Schema / Table</t>
  </si>
  <si>
    <t>Job / DAG Name</t>
  </si>
  <si>
    <t>Dimension</t>
  </si>
  <si>
    <t>Check Rule Description</t>
  </si>
  <si>
    <t>Check Logic / Query</t>
  </si>
  <si>
    <t>Result</t>
  </si>
  <si>
    <t>Record Count</t>
  </si>
  <si>
    <t>Fail Count</t>
  </si>
  <si>
    <t>Fail %</t>
  </si>
  <si>
    <t>Action Taken / Notes</t>
  </si>
  <si>
    <t>DE</t>
  </si>
  <si>
    <t>de_mart.customer</t>
  </si>
  <si>
    <t>load_customer_daily</t>
  </si>
  <si>
    <t>CID must not be null</t>
  </si>
  <si>
    <t>COUNT(*) WHERE cid IS NULL. Threshold: 0 nulls</t>
  </si>
  <si>
    <t>PASS</t>
  </si>
  <si>
    <t>CID must match F% or CUS% prefix</t>
  </si>
  <si>
    <t>COUNT(*) WHERE cid NOT LIKE 'F%' AND cid NOT LIKE 'CUS%'. Threshold: &lt;1%</t>
  </si>
  <si>
    <t>de_mart.transaction</t>
  </si>
  <si>
    <t>load_txn_daily</t>
  </si>
  <si>
    <t>Data loaded by 07:00 SLA</t>
  </si>
  <si>
    <t>MAX(load_dt) checked at 07:05. SLA = 07:00</t>
  </si>
  <si>
    <t>WARN</t>
  </si>
  <si>
    <t>Load completed 07:45 - SLA breach, investigating upstream</t>
  </si>
  <si>
    <t>VLC</t>
  </si>
  <si>
    <t>vlc_mart.member</t>
  </si>
  <si>
    <t>load_vlc_member</t>
  </si>
  <si>
    <t>CID match rate DE vs VLC &gt;= 99%</t>
  </si>
  <si>
    <t>COUNT(DISTINCT a.cid) in DE not found in VLC / total DE CIDs. Threshold: &lt;1%</t>
  </si>
  <si>
    <t>FAIL</t>
  </si>
  <si>
    <t>SDP INC-2024-0501 opened - partial VLC load failure</t>
  </si>
  <si>
    <t>max(updated_date) &gt;= today - 1</t>
  </si>
  <si>
    <t>SELECT MAX(updated_date) FROM vlc_mart.member. Expected &gt;= today-1</t>
  </si>
  <si>
    <t>de_mart.sales</t>
  </si>
  <si>
    <t>load_sales_daily</t>
  </si>
  <si>
    <t>member_id must exist in member master (FK)</t>
  </si>
  <si>
    <t>COUNT(*) in de_mart.sales WHERE member_id not in de_mart.member. Threshold: 0</t>
  </si>
  <si>
    <t>420 orphan records pre-2020 known issue, documented in caveats</t>
  </si>
  <si>
    <t>Phone must be 10 numeric digits</t>
  </si>
  <si>
    <t>COUNT(*) WHERE LEN(phone)!=10 OR phone LIKE '%[^0-9]%'. Threshold: &lt;1%</t>
  </si>
  <si>
    <t>Investigating legacy records; owner notified</t>
  </si>
  <si>
    <t>&lt;-- Add new rows here for each check run. Copy a row above as template.</t>
  </si>
  <si>
    <t>Problem Tracker -- Recurring Incident -&gt; RCA -&gt; Countermeasure</t>
  </si>
  <si>
    <t>Problem ID</t>
  </si>
  <si>
    <t>Linked Incident IDs</t>
  </si>
  <si>
    <t>Table / Job Affected</t>
  </si>
  <si>
    <t>Problem Description</t>
  </si>
  <si>
    <t>Root Cause Category</t>
  </si>
  <si>
    <t>Root Cause Detail</t>
  </si>
  <si>
    <t>Countermeasure</t>
  </si>
  <si>
    <t>Check Rule Added?</t>
  </si>
  <si>
    <t>Opened Date</t>
  </si>
  <si>
    <t>Resolved Date</t>
  </si>
  <si>
    <t>Days Open</t>
  </si>
  <si>
    <t>Recurrence After Fix?</t>
  </si>
  <si>
    <t>PRB-001</t>
  </si>
  <si>
    <t>INC-2024-0312, INC-2024-0389</t>
  </si>
  <si>
    <t>vlc_mart.member / load_vlc_member</t>
  </si>
  <si>
    <t>CID match rate DE vs VLC dropped below 99% on 2 occasions within 30 days</t>
  </si>
  <si>
    <t>Pipeline Defect</t>
  </si>
  <si>
    <t>load_vlc_member DAG failed silently on 2 occasions - partial load occurred without triggering error alert. Row count check was missing.</t>
  </si>
  <si>
    <t>Added explicit row count pre/post load check. Added FAIL alert for partial load condition. Updated monitoring rule threshold from 98% to 99%.</t>
  </si>
  <si>
    <t>Y</t>
  </si>
  <si>
    <t>VERIFIED CLOSED</t>
  </si>
  <si>
    <t>N</t>
  </si>
  <si>
    <t>PRB-002</t>
  </si>
  <si>
    <t>INC-2024-0498, INC-2024-0512, INC-2024-0538</t>
  </si>
  <si>
    <t>de_mart.transaction / load_txn_daily</t>
  </si>
  <si>
    <t>Timeliness SLA breached 3 times in 30 days - load consistently completing after 07:00 cutoff</t>
  </si>
  <si>
    <t>Config Error</t>
  </si>
  <si>
    <t>Upstream source query performing full table scan on 850M rows causing 45-60 min delay. Query was not optimized when row count increased Q1 2024.</t>
  </si>
  <si>
    <t>Optimized source SQL with partition filter (reduces scan from 850M to ~15M rows). Temporary SLA window extended to 07:30 pending permanent fix validation.</t>
  </si>
  <si>
    <t>RCA COMPLETE</t>
  </si>
  <si>
    <t>&lt;-- Add new Problem records here when Col H flag is set in Incident_Summary</t>
  </si>
  <si>
    <t>Prevention Effectiveness KPI</t>
  </si>
  <si>
    <t>Report Period: [Year]   |   Update monthly from DQ_Health_Check_Log and Incident_Summary</t>
  </si>
  <si>
    <t>MONTHLY SUMMARY</t>
  </si>
  <si>
    <t>Month</t>
  </si>
  <si>
    <t>Proactively Caught</t>
  </si>
  <si>
    <t>User Reported</t>
  </si>
  <si>
    <t>Total Issues</t>
  </si>
  <si>
    <t>Prevention Rate %</t>
  </si>
  <si>
    <t>Problems Opened</t>
  </si>
  <si>
    <t>Problems Resolved</t>
  </si>
  <si>
    <t>Avg Days to Resolve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</si>
  <si>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</si>
  <si>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</si>
  <si>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</si>
  <si>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</si>
  <si>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</si>
  <si>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</si>
  <si>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</si>
  <si>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</si>
  <si>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</si>
  <si>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</si>
  <si>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</si>
  <si>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</si>
  <si>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</si>
  <si>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DIMENSION SCORECARD (ROLLING MONTH)</t>
  </si>
  <si>
    <t>Checks Scheduled</t>
  </si>
  <si>
    <t>PASS Rate %</t>
  </si>
  <si>
    <t>Trend (^ up / = flat / v down)</t>
  </si>
  <si>
    <t>=</t>
  </si>
  <si>
    <t>v</t>
  </si>
  <si>
    <t>^</t>
  </si>
  <si>
    <t>How to use: (1) Update Monthly Summary table from SDP incident counts. (2) Enter Y/N in Col I of Incident_Summary for each incident (proactively caught or not). (3) Update Dimension Scorecard from DQ_Health_Check_Log counts. Prevention Rate target: &gt;70%.</t>
  </si>
  <si>
    <t>BY CATEGORY: VLC / DE Job Mart</t>
  </si>
  <si>
    <t>DE - Inprogress</t>
  </si>
  <si>
    <t>VLC - 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</si>
</sst>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/>
    <xf numFmtId="0" fontId="4" fillId="0" borderId="0" xfId="0" applyFont="1"/>
    <xf numFmtId="0" fontId="5" fillId="2" borderId="0" xfId="0" applyFont="1" applyFill="1"/>
    <xf numFmtId="0" fontId="8" fillId="2" borderId="0" xfId="0" applyFont="1" applyFill="1" applyAlignment="1">
      <alignment horizontal="center" wrapText="1"/>
    </xf>
    <xf numFmtId="0" fontId="0" fillId="3" borderId="0" xfId="0" applyFill="1"/>
    <xf numFmtId="164" fontId="5" fillId="2" borderId="0" xfId="0" applyNumberFormat="1" applyFont="1" applyFill="1"/>
    <xf numFmtId="0" fontId="1" fillId="4" borderId="0" xfId="0" applyFont="1" applyFill="1"/>
    <xf numFmtId="0" fontId="2" fillId="5" borderId="0" xfId="0" applyFont="1" applyFill="1"/>
    <xf numFmtId="165" fontId="0" fillId="0" borderId="0" xfId="0" applyNumberFormat="1"/>
    <xf numFmtId="165" fontId="4" fillId="6" borderId="0" xfId="0" applyNumberFormat="1" applyFont="1" applyFill="1"/>
    <xf numFmtId="0" fontId="9" fillId="0" borderId="0" xfId="0" applyFont="1"/>
    <xf numFmtId="14" fontId="0" fillId="0" borderId="0" xfId="0" applyNumberFormat="1"/>
    <xf numFmtId="10" fontId="0" fillId="0" borderId="0" xfId="0" applyNumberFormat="1"/>
    <xf numFmtId="0" fontId="10" fillId="4" borderId="0" xfId="0" applyFont="1" applyFill="1"/>
    <xf numFmtId="0" fontId="11" fillId="7" borderId="0" xfId="0" applyFont="1" applyFill="1"/>
    <xf numFmtId="0" fontId="12" fillId="5" borderId="0" xfId="0" applyFont="1" applyFill="1"/>
    <xf numFmtId="1" fontId="0" fillId="0" borderId="0" xfId="0" applyNumberFormat="1"/>
    <xf numFmtId="165" fontId="0" fillId="3" borderId="0" xfId="0" applyNumberFormat="1" applyFill="1"/>
    <xf numFmtId="165" fontId="1" fillId="4" borderId="0" xfId="0" applyNumberFormat="1" applyFont="1" applyFill="1"/>
    <xf numFmtId="165" fontId="10" fillId="4" borderId="0" xfId="0" applyNumberFormat="1" applyFont="1" applyFill="1"/>
    <xf numFmtId="165" fontId="5" fillId="2" borderId="0" xfId="0" applyNumberFormat="1" applyFont="1" applyFill="1"/>
    <xf numFmtId="165" fontId="2" fillId="5" borderId="0" xfId="0" applyNumberFormat="1" applyFont="1" applyFill="1"/>
    <xf numFmtId="165" fontId="3" fillId="7" borderId="0" xfId="0" applyNumberFormat="1" applyFont="1" applyFill="1"/>
    <xf numFmtId="0" fontId="9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8E46-EFAE-4DB5-8E69-E75A41750457}">
  <sheetPr>
    <tabColor rgb="FF1A2E4A"/>
  </sheetPr>
  <dimension ref="A1:J33"/>
  <sheetViews>
    <sheetView tabSelected="1" workbookViewId="0">
      <selection activeCell="C31" sqref="C31"/>
    </sheetView>
  </sheetViews>
  <sheetFormatPr defaultRowHeight="14.5" x14ac:dyDescent="0.35"/>
  <cols>
    <col min="1" max="1" width="30.6328125" customWidth="1"/>
    <col min="2" max="2" width="30.08984375" customWidth="1"/>
    <col min="3" max="8" width="14.6328125" customWidth="1"/>
    <col min="9" max="9" width="22.6328125" customWidth="1"/>
    <col min="10" max="10" width="20.6328125" customWidth="1"/>
  </cols>
  <sheetData>
    <row r="1" spans="1:10" ht="30" customHeight="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0" customHeight="1" x14ac:dyDescent="0.35">
      <c r="A2" s="1" t="s">
        <v>1</v>
      </c>
      <c r="I2" s="1" t="s">
        <v>2</v>
      </c>
    </row>
    <row r="3" spans="1:10" ht="22" customHeight="1" x14ac:dyDescent="0.35">
      <c r="A3" s="3" t="s">
        <v>156</v>
      </c>
    </row>
    <row r="4" spans="1:10" ht="38" customHeight="1" x14ac:dyDescent="0.35">
      <c r="A4" s="4" t="s">
        <v>3</v>
      </c>
      <c r="B4" s="4" t="s">
        <v>157</v>
      </c>
      <c r="C4" s="4" t="s">
        <v>4</v>
      </c>
      <c r="D4" s="4" t="s">
        <v>5</v>
      </c>
      <c r="E4" s="27" t="s">
        <v>158</v>
      </c>
      <c r="F4" s="27" t="s">
        <v>6</v>
      </c>
      <c r="G4" s="27" t="s">
        <v>7</v>
      </c>
      <c r="H4" s="4" t="s">
        <v>8</v>
      </c>
      <c r="I4" s="4" t="s">
        <v>9</v>
      </c>
      <c r="J4" s="4" t="s">
        <v>10</v>
      </c>
    </row>
    <row r="5" spans="1:10" s="5" customFormat="1" x14ac:dyDescent="0.35">
      <c r="A5" s="5" t="s">
        <v>11</v>
      </c>
      <c r="B5" s="5">
        <v>0</v>
      </c>
      <c r="C5" s="5">
        <v>0</v>
      </c>
      <c r="D5" s="5">
        <f t="shared" ref="D5:D12" si="0">B5+C5</f>
        <v>0</v>
      </c>
      <c r="E5" s="5">
        <v>0</v>
      </c>
      <c r="F5" s="5">
        <v>0</v>
      </c>
      <c r="G5" s="5">
        <f t="shared" ref="G5:G12" si="1">E5+F5</f>
        <v>0</v>
      </c>
      <c r="H5" s="5">
        <f t="shared" ref="H5:H12" si="2">D5+G5</f>
        <v>0</v>
      </c>
      <c r="I5" s="5" t="s">
        <v>12</v>
      </c>
      <c r="J5" s="5">
        <v>0</v>
      </c>
    </row>
    <row r="6" spans="1:10" x14ac:dyDescent="0.35">
      <c r="A6" t="s">
        <v>13</v>
      </c>
      <c r="B6">
        <v>0</v>
      </c>
      <c r="C6">
        <v>0</v>
      </c>
      <c r="D6">
        <f t="shared" si="0"/>
        <v>0</v>
      </c>
      <c r="E6">
        <v>0</v>
      </c>
      <c r="F6">
        <v>0</v>
      </c>
      <c r="G6">
        <f t="shared" si="1"/>
        <v>0</v>
      </c>
      <c r="H6">
        <f t="shared" si="2"/>
        <v>0</v>
      </c>
      <c r="I6" t="s">
        <v>12</v>
      </c>
      <c r="J6">
        <v>0</v>
      </c>
    </row>
    <row r="7" spans="1:10" s="5" customFormat="1" x14ac:dyDescent="0.35">
      <c r="A7" s="5" t="s">
        <v>14</v>
      </c>
      <c r="B7" s="5">
        <v>0</v>
      </c>
      <c r="C7" s="5">
        <v>0</v>
      </c>
      <c r="D7" s="5">
        <f t="shared" si="0"/>
        <v>0</v>
      </c>
      <c r="E7" s="5">
        <v>0</v>
      </c>
      <c r="F7" s="5">
        <v>0</v>
      </c>
      <c r="G7" s="5">
        <f t="shared" si="1"/>
        <v>0</v>
      </c>
      <c r="H7" s="5">
        <f t="shared" si="2"/>
        <v>0</v>
      </c>
      <c r="I7" s="5" t="s">
        <v>12</v>
      </c>
      <c r="J7" s="5">
        <v>0</v>
      </c>
    </row>
    <row r="8" spans="1:10" x14ac:dyDescent="0.35">
      <c r="A8" t="s">
        <v>15</v>
      </c>
      <c r="B8">
        <v>0</v>
      </c>
      <c r="C8">
        <v>0</v>
      </c>
      <c r="D8">
        <f t="shared" si="0"/>
        <v>0</v>
      </c>
      <c r="E8">
        <v>0</v>
      </c>
      <c r="F8">
        <v>0</v>
      </c>
      <c r="G8">
        <f t="shared" si="1"/>
        <v>0</v>
      </c>
      <c r="H8">
        <f t="shared" si="2"/>
        <v>0</v>
      </c>
      <c r="I8" t="s">
        <v>12</v>
      </c>
      <c r="J8">
        <v>0</v>
      </c>
    </row>
    <row r="9" spans="1:10" s="5" customFormat="1" x14ac:dyDescent="0.35">
      <c r="A9" s="5" t="s">
        <v>16</v>
      </c>
      <c r="B9" s="5">
        <v>0</v>
      </c>
      <c r="C9" s="5">
        <v>0</v>
      </c>
      <c r="D9" s="5">
        <f t="shared" si="0"/>
        <v>0</v>
      </c>
      <c r="E9" s="5">
        <v>0</v>
      </c>
      <c r="F9" s="5">
        <v>0</v>
      </c>
      <c r="G9" s="5">
        <f t="shared" si="1"/>
        <v>0</v>
      </c>
      <c r="H9" s="5">
        <f t="shared" si="2"/>
        <v>0</v>
      </c>
      <c r="I9" s="5" t="s">
        <v>12</v>
      </c>
      <c r="J9" s="5">
        <v>0</v>
      </c>
    </row>
    <row r="10" spans="1:10" x14ac:dyDescent="0.35">
      <c r="A10" t="s">
        <v>17</v>
      </c>
      <c r="B10">
        <v>0</v>
      </c>
      <c r="C10">
        <v>0</v>
      </c>
      <c r="D10">
        <f t="shared" si="0"/>
        <v>0</v>
      </c>
      <c r="E10">
        <v>0</v>
      </c>
      <c r="F10">
        <v>0</v>
      </c>
      <c r="G10">
        <f t="shared" si="1"/>
        <v>0</v>
      </c>
      <c r="H10">
        <f t="shared" si="2"/>
        <v>0</v>
      </c>
      <c r="I10" t="s">
        <v>12</v>
      </c>
      <c r="J10">
        <v>0</v>
      </c>
    </row>
    <row r="11" spans="1:10" s="5" customFormat="1" x14ac:dyDescent="0.35">
      <c r="A11" s="5" t="s">
        <v>18</v>
      </c>
      <c r="B11" s="5">
        <v>0</v>
      </c>
      <c r="C11" s="5">
        <v>0</v>
      </c>
      <c r="D11" s="5">
        <f t="shared" si="0"/>
        <v>0</v>
      </c>
      <c r="E11" s="5">
        <v>0</v>
      </c>
      <c r="F11" s="5">
        <v>0</v>
      </c>
      <c r="G11" s="5">
        <f t="shared" si="1"/>
        <v>0</v>
      </c>
      <c r="H11" s="5">
        <f t="shared" si="2"/>
        <v>0</v>
      </c>
      <c r="I11" s="5" t="s">
        <v>12</v>
      </c>
      <c r="J11" s="5">
        <v>0</v>
      </c>
    </row>
    <row r="12" spans="1:10" x14ac:dyDescent="0.35">
      <c r="A12" t="s">
        <v>19</v>
      </c>
      <c r="B12">
        <v>0</v>
      </c>
      <c r="C12">
        <v>0</v>
      </c>
      <c r="D12">
        <f t="shared" si="0"/>
        <v>0</v>
      </c>
      <c r="E12">
        <v>0</v>
      </c>
      <c r="F12">
        <v>0</v>
      </c>
      <c r="G12">
        <f t="shared" si="1"/>
        <v>0</v>
      </c>
      <c r="H12">
        <f t="shared" si="2"/>
        <v>0</v>
      </c>
      <c r="I12" t="s">
        <v>12</v>
      </c>
      <c r="J12">
        <v>0</v>
      </c>
    </row>
    <row r="13" spans="1:10" s="3" customFormat="1" x14ac:dyDescent="0.35">
      <c r="A13" s="3" t="s">
        <v>20</v>
      </c>
      <c r="B13" s="3">
        <f t="shared" ref="B13:H13" si="3">SUM(B5:B12)</f>
        <v>0</v>
      </c>
      <c r="C13" s="3">
        <f t="shared" si="3"/>
        <v>0</v>
      </c>
      <c r="D13" s="3">
        <f t="shared" si="3"/>
        <v>0</v>
      </c>
      <c r="E13" s="3">
        <f t="shared" si="3"/>
        <v>0</v>
      </c>
      <c r="F13" s="3">
        <f t="shared" si="3"/>
        <v>0</v>
      </c>
      <c r="G13" s="3">
        <f t="shared" si="3"/>
        <v>0</v>
      </c>
      <c r="H13" s="3">
        <f t="shared" si="3"/>
        <v>0</v>
      </c>
      <c r="J13" s="6">
        <f>IF(SUM(D5:D12,G5:G12)&gt;0,SUMPRODUCT(J5:J12,(D5:D12+G5:G12))/SUM(D5:D12,G5:G12),0)</f>
        <v>0</v>
      </c>
    </row>
    <row r="14" spans="1:10" ht="10" customHeight="1" x14ac:dyDescent="0.35"/>
    <row r="15" spans="1:10" ht="22" customHeight="1" x14ac:dyDescent="0.35">
      <c r="A15" s="3" t="s">
        <v>21</v>
      </c>
    </row>
    <row r="16" spans="1:10" ht="30" customHeight="1" x14ac:dyDescent="0.35">
      <c r="A16" s="3" t="s">
        <v>22</v>
      </c>
      <c r="B16" s="3" t="s">
        <v>23</v>
      </c>
      <c r="C16" s="3" t="s">
        <v>24</v>
      </c>
      <c r="D16" s="3" t="s">
        <v>25</v>
      </c>
    </row>
    <row r="17" spans="1:4" s="5" customFormat="1" x14ac:dyDescent="0.35">
      <c r="A17" s="5" t="s">
        <v>26</v>
      </c>
      <c r="B17" s="5">
        <v>0</v>
      </c>
      <c r="C17" s="5">
        <v>0</v>
      </c>
      <c r="D17" s="5">
        <f>B17+C17</f>
        <v>0</v>
      </c>
    </row>
    <row r="18" spans="1:4" x14ac:dyDescent="0.35">
      <c r="A18" t="s">
        <v>27</v>
      </c>
      <c r="B18">
        <v>0</v>
      </c>
      <c r="C18">
        <v>0</v>
      </c>
      <c r="D18">
        <f>B18+C18</f>
        <v>0</v>
      </c>
    </row>
    <row r="19" spans="1:4" s="5" customFormat="1" x14ac:dyDescent="0.35">
      <c r="A19" s="5" t="s">
        <v>28</v>
      </c>
      <c r="B19" s="5">
        <v>0</v>
      </c>
      <c r="C19" s="5">
        <v>0</v>
      </c>
      <c r="D19" s="5">
        <f>B19+C19</f>
        <v>0</v>
      </c>
    </row>
    <row r="20" spans="1:4" x14ac:dyDescent="0.35">
      <c r="A20" t="s">
        <v>29</v>
      </c>
      <c r="B20">
        <v>0</v>
      </c>
      <c r="C20">
        <v>0</v>
      </c>
      <c r="D20">
        <f>B20+C20</f>
        <v>0</v>
      </c>
    </row>
    <row r="21" spans="1:4" ht="10" customHeight="1" x14ac:dyDescent="0.35"/>
    <row r="22" spans="1:4" ht="22" customHeight="1" x14ac:dyDescent="0.35">
      <c r="A22" s="3" t="s">
        <v>30</v>
      </c>
    </row>
    <row r="23" spans="1:4" ht="30" customHeight="1" x14ac:dyDescent="0.35">
      <c r="A23" s="3" t="s">
        <v>31</v>
      </c>
      <c r="B23" s="3" t="s">
        <v>32</v>
      </c>
      <c r="C23" s="3" t="s">
        <v>33</v>
      </c>
      <c r="D23" s="3" t="s">
        <v>10</v>
      </c>
    </row>
    <row r="24" spans="1:4" s="5" customFormat="1" x14ac:dyDescent="0.35">
      <c r="A24" s="5" t="s">
        <v>34</v>
      </c>
      <c r="B24" s="5" t="s">
        <v>35</v>
      </c>
      <c r="C24" s="5">
        <v>0</v>
      </c>
      <c r="D24" s="5">
        <v>0</v>
      </c>
    </row>
    <row r="25" spans="1:4" x14ac:dyDescent="0.35">
      <c r="A25" t="s">
        <v>36</v>
      </c>
      <c r="B25" t="s">
        <v>37</v>
      </c>
      <c r="C25">
        <v>0</v>
      </c>
      <c r="D25">
        <v>0</v>
      </c>
    </row>
    <row r="26" spans="1:4" s="5" customFormat="1" x14ac:dyDescent="0.35">
      <c r="A26" s="5" t="s">
        <v>38</v>
      </c>
      <c r="B26" s="5" t="s">
        <v>39</v>
      </c>
      <c r="C26" s="5">
        <v>0</v>
      </c>
      <c r="D26" s="5">
        <v>0</v>
      </c>
    </row>
    <row r="27" spans="1:4" x14ac:dyDescent="0.35">
      <c r="A27" t="s">
        <v>40</v>
      </c>
      <c r="B27" t="s">
        <v>41</v>
      </c>
      <c r="C27">
        <v>0</v>
      </c>
      <c r="D27">
        <v>0</v>
      </c>
    </row>
    <row r="28" spans="1:4" ht="10" customHeight="1" x14ac:dyDescent="0.35"/>
    <row r="29" spans="1:4" ht="22" customHeight="1" x14ac:dyDescent="0.35">
      <c r="A29" s="3" t="s">
        <v>42</v>
      </c>
    </row>
    <row r="30" spans="1:4" x14ac:dyDescent="0.35">
      <c r="A30" t="s">
        <v>43</v>
      </c>
      <c r="B30" s="7">
        <f>COUNTIF(I5:I12,"Y")</f>
        <v>0</v>
      </c>
    </row>
    <row r="31" spans="1:4" x14ac:dyDescent="0.35">
      <c r="A31" t="s">
        <v>44</v>
      </c>
      <c r="B31" s="8">
        <f>COUNTIF(I5:I12,"N")</f>
        <v>0</v>
      </c>
    </row>
    <row r="32" spans="1:4" x14ac:dyDescent="0.35">
      <c r="A32" s="2" t="s">
        <v>45</v>
      </c>
      <c r="B32" s="10">
        <f>IF((B30+B31)&gt;0,B30/(B30+B31),0)</f>
        <v>0</v>
      </c>
    </row>
    <row r="33" spans="1:1" x14ac:dyDescent="0.35">
      <c r="A33" s="11" t="s">
        <v>46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81AE-57E0-499B-AABF-FB2F88548C92}">
  <sheetPr>
    <tabColor rgb="FF2563A8"/>
  </sheetPr>
  <dimension ref="A1:L10"/>
  <sheetViews>
    <sheetView workbookViewId="0">
      <selection activeCell="B3" sqref="B3:B5"/>
    </sheetView>
  </sheetViews>
  <sheetFormatPr defaultRowHeight="14.5" x14ac:dyDescent="0.35"/>
  <cols>
    <col min="1" max="2" width="14.6328125" customWidth="1"/>
    <col min="3" max="4" width="26.6328125" customWidth="1"/>
    <col min="5" max="5" width="16.6328125" customWidth="1"/>
    <col min="6" max="6" width="40.6328125" customWidth="1"/>
    <col min="7" max="7" width="44.6328125" customWidth="1"/>
    <col min="8" max="8" width="10.6328125" customWidth="1"/>
    <col min="9" max="9" width="16.6328125" customWidth="1"/>
    <col min="10" max="10" width="12.6328125" customWidth="1"/>
    <col min="11" max="11" width="10.6328125" customWidth="1"/>
    <col min="12" max="12" width="42.6328125" customWidth="1"/>
  </cols>
  <sheetData>
    <row r="1" spans="1:12" ht="30" customHeight="1" x14ac:dyDescent="0.35">
      <c r="A1" s="25" t="s">
        <v>47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8" customHeight="1" x14ac:dyDescent="0.3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</row>
    <row r="3" spans="1:12" x14ac:dyDescent="0.35">
      <c r="A3" s="12">
        <v>46156</v>
      </c>
      <c r="B3" t="s">
        <v>60</v>
      </c>
      <c r="C3" t="s">
        <v>61</v>
      </c>
      <c r="D3" t="s">
        <v>62</v>
      </c>
      <c r="E3" t="s">
        <v>11</v>
      </c>
      <c r="F3" t="s">
        <v>63</v>
      </c>
      <c r="G3" t="s">
        <v>64</v>
      </c>
      <c r="H3" s="14" t="s">
        <v>65</v>
      </c>
      <c r="I3">
        <v>1250000</v>
      </c>
      <c r="J3">
        <v>0</v>
      </c>
      <c r="K3" s="13">
        <f t="shared" ref="K3:K9" si="0">IF(I3&gt;0,J3/I3,0)</f>
        <v>0</v>
      </c>
    </row>
    <row r="4" spans="1:12" x14ac:dyDescent="0.35">
      <c r="A4" s="12">
        <v>46156</v>
      </c>
      <c r="B4" t="s">
        <v>60</v>
      </c>
      <c r="C4" t="s">
        <v>61</v>
      </c>
      <c r="D4" t="s">
        <v>62</v>
      </c>
      <c r="E4" t="s">
        <v>17</v>
      </c>
      <c r="F4" t="s">
        <v>66</v>
      </c>
      <c r="G4" t="s">
        <v>67</v>
      </c>
      <c r="H4" s="14" t="s">
        <v>65</v>
      </c>
      <c r="I4">
        <v>1250000</v>
      </c>
      <c r="J4">
        <v>1200</v>
      </c>
      <c r="K4" s="13">
        <f t="shared" si="0"/>
        <v>9.6000000000000002E-4</v>
      </c>
    </row>
    <row r="5" spans="1:12" x14ac:dyDescent="0.35">
      <c r="A5" s="12">
        <v>46156</v>
      </c>
      <c r="B5" t="s">
        <v>60</v>
      </c>
      <c r="C5" t="s">
        <v>68</v>
      </c>
      <c r="D5" t="s">
        <v>69</v>
      </c>
      <c r="E5" t="s">
        <v>15</v>
      </c>
      <c r="F5" t="s">
        <v>70</v>
      </c>
      <c r="G5" t="s">
        <v>71</v>
      </c>
      <c r="H5" s="15" t="s">
        <v>72</v>
      </c>
      <c r="I5">
        <v>1</v>
      </c>
      <c r="J5">
        <v>1</v>
      </c>
      <c r="K5" s="13">
        <f t="shared" si="0"/>
        <v>1</v>
      </c>
      <c r="L5" t="s">
        <v>73</v>
      </c>
    </row>
    <row r="6" spans="1:12" x14ac:dyDescent="0.35">
      <c r="A6" s="12">
        <v>46156</v>
      </c>
      <c r="B6" t="s">
        <v>74</v>
      </c>
      <c r="C6" t="s">
        <v>75</v>
      </c>
      <c r="D6" t="s">
        <v>76</v>
      </c>
      <c r="E6" t="s">
        <v>13</v>
      </c>
      <c r="F6" t="s">
        <v>77</v>
      </c>
      <c r="G6" t="s">
        <v>78</v>
      </c>
      <c r="H6" s="16" t="s">
        <v>79</v>
      </c>
      <c r="I6">
        <v>1250000</v>
      </c>
      <c r="J6">
        <v>15200</v>
      </c>
      <c r="K6" s="13">
        <f t="shared" si="0"/>
        <v>1.2160000000000001E-2</v>
      </c>
      <c r="L6" t="s">
        <v>80</v>
      </c>
    </row>
    <row r="7" spans="1:12" x14ac:dyDescent="0.35">
      <c r="A7" s="12">
        <v>46156</v>
      </c>
      <c r="B7" t="s">
        <v>74</v>
      </c>
      <c r="C7" t="s">
        <v>75</v>
      </c>
      <c r="D7" t="s">
        <v>76</v>
      </c>
      <c r="E7" t="s">
        <v>16</v>
      </c>
      <c r="F7" t="s">
        <v>81</v>
      </c>
      <c r="G7" t="s">
        <v>82</v>
      </c>
      <c r="H7" s="14" t="s">
        <v>65</v>
      </c>
      <c r="I7">
        <v>1</v>
      </c>
      <c r="J7">
        <v>0</v>
      </c>
      <c r="K7" s="13">
        <f t="shared" si="0"/>
        <v>0</v>
      </c>
    </row>
    <row r="8" spans="1:12" x14ac:dyDescent="0.35">
      <c r="A8" s="12">
        <v>46156</v>
      </c>
      <c r="B8" t="s">
        <v>60</v>
      </c>
      <c r="C8" t="s">
        <v>83</v>
      </c>
      <c r="D8" t="s">
        <v>84</v>
      </c>
      <c r="E8" t="s">
        <v>14</v>
      </c>
      <c r="F8" t="s">
        <v>85</v>
      </c>
      <c r="G8" t="s">
        <v>86</v>
      </c>
      <c r="H8" s="14" t="s">
        <v>65</v>
      </c>
      <c r="I8">
        <v>850000</v>
      </c>
      <c r="J8">
        <v>420</v>
      </c>
      <c r="K8" s="13">
        <f t="shared" si="0"/>
        <v>4.9411764705882349E-4</v>
      </c>
      <c r="L8" t="s">
        <v>87</v>
      </c>
    </row>
    <row r="9" spans="1:12" x14ac:dyDescent="0.35">
      <c r="A9" s="12">
        <v>46156</v>
      </c>
      <c r="B9" t="s">
        <v>60</v>
      </c>
      <c r="C9" t="s">
        <v>61</v>
      </c>
      <c r="D9" t="s">
        <v>62</v>
      </c>
      <c r="E9" t="s">
        <v>18</v>
      </c>
      <c r="F9" t="s">
        <v>88</v>
      </c>
      <c r="G9" t="s">
        <v>89</v>
      </c>
      <c r="H9" s="15" t="s">
        <v>72</v>
      </c>
      <c r="I9">
        <v>1250000</v>
      </c>
      <c r="J9">
        <v>8500</v>
      </c>
      <c r="K9" s="13">
        <f t="shared" si="0"/>
        <v>6.7999999999999996E-3</v>
      </c>
      <c r="L9" t="s">
        <v>90</v>
      </c>
    </row>
    <row r="10" spans="1:12" x14ac:dyDescent="0.35">
      <c r="A10" s="11" t="s">
        <v>91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8C35-5966-4D40-9D09-CACDDB50F5EC}">
  <sheetPr>
    <tabColor rgb="FFC6EFCE"/>
  </sheetPr>
  <dimension ref="A1:H29"/>
  <sheetViews>
    <sheetView workbookViewId="0">
      <selection activeCell="D5" sqref="D5"/>
    </sheetView>
  </sheetViews>
  <sheetFormatPr defaultRowHeight="14.5" x14ac:dyDescent="0.35"/>
  <cols>
    <col min="1" max="1" width="22.6328125" customWidth="1"/>
    <col min="2" max="8" width="18.6328125" customWidth="1"/>
  </cols>
  <sheetData>
    <row r="1" spans="1:8" ht="30" customHeight="1" x14ac:dyDescent="0.35">
      <c r="A1" s="25" t="s">
        <v>124</v>
      </c>
      <c r="B1" s="26"/>
      <c r="C1" s="26"/>
      <c r="D1" s="26"/>
      <c r="E1" s="26"/>
      <c r="F1" s="26"/>
      <c r="G1" s="26"/>
      <c r="H1" s="26"/>
    </row>
    <row r="2" spans="1:8" ht="20" customHeight="1" x14ac:dyDescent="0.35">
      <c r="A2" s="1" t="s">
        <v>125</v>
      </c>
    </row>
    <row r="3" spans="1:8" ht="22" customHeight="1" x14ac:dyDescent="0.35">
      <c r="A3" s="3" t="s">
        <v>126</v>
      </c>
    </row>
    <row r="4" spans="1:8" ht="38" customHeight="1" x14ac:dyDescent="0.35">
      <c r="A4" s="4" t="s">
        <v>127</v>
      </c>
      <c r="B4" s="4" t="s">
        <v>128</v>
      </c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  <c r="H4" s="4" t="s">
        <v>134</v>
      </c>
    </row>
    <row r="5" spans="1:8" s="5" customFormat="1" x14ac:dyDescent="0.35">
      <c r="A5" s="5" t="s">
        <v>135</v>
      </c>
      <c r="B5" s="5">
        <v>0</v>
      </c>
      <c r="C5" s="5">
        <v>0</v>
      </c>
      <c r="D5" s="5">
        <f t="shared" ref="D5:D16" si="0">B5+C5</f>
        <v>0</v>
      </c>
      <c r="E5" s="18">
        <f t="shared" ref="E5:E17" si="1">IF(D5&gt;0,B5/D5,0)</f>
        <v>0</v>
      </c>
      <c r="F5" s="5">
        <v>0</v>
      </c>
      <c r="G5" s="5">
        <v>0</v>
      </c>
      <c r="H5" s="5">
        <v>0</v>
      </c>
    </row>
    <row r="6" spans="1:8" x14ac:dyDescent="0.35">
      <c r="A6" t="s">
        <v>136</v>
      </c>
      <c r="B6">
        <v>0</v>
      </c>
      <c r="C6">
        <v>0</v>
      </c>
      <c r="D6">
        <f t="shared" si="0"/>
        <v>0</v>
      </c>
      <c r="E6" s="9">
        <f t="shared" si="1"/>
        <v>0</v>
      </c>
      <c r="F6">
        <v>0</v>
      </c>
      <c r="G6">
        <v>0</v>
      </c>
      <c r="H6">
        <v>0</v>
      </c>
    </row>
    <row r="7" spans="1:8" s="5" customFormat="1" x14ac:dyDescent="0.35">
      <c r="A7" s="5" t="s">
        <v>137</v>
      </c>
      <c r="B7" s="5">
        <v>0</v>
      </c>
      <c r="C7" s="5">
        <v>0</v>
      </c>
      <c r="D7" s="5">
        <f t="shared" si="0"/>
        <v>0</v>
      </c>
      <c r="E7" s="18">
        <f t="shared" si="1"/>
        <v>0</v>
      </c>
      <c r="F7" s="5">
        <v>0</v>
      </c>
      <c r="G7" s="5">
        <v>0</v>
      </c>
      <c r="H7" s="5">
        <v>0</v>
      </c>
    </row>
    <row r="8" spans="1:8" x14ac:dyDescent="0.35">
      <c r="A8" t="s">
        <v>138</v>
      </c>
      <c r="B8">
        <v>0</v>
      </c>
      <c r="C8">
        <v>0</v>
      </c>
      <c r="D8">
        <f t="shared" si="0"/>
        <v>0</v>
      </c>
      <c r="E8" s="9">
        <f t="shared" si="1"/>
        <v>0</v>
      </c>
      <c r="F8">
        <v>0</v>
      </c>
      <c r="G8">
        <v>0</v>
      </c>
      <c r="H8">
        <v>0</v>
      </c>
    </row>
    <row r="9" spans="1:8" s="5" customFormat="1" x14ac:dyDescent="0.35">
      <c r="A9" s="5" t="s">
        <v>139</v>
      </c>
      <c r="B9" s="5">
        <v>12</v>
      </c>
      <c r="C9" s="5">
        <v>3</v>
      </c>
      <c r="D9" s="5">
        <f t="shared" si="0"/>
        <v>15</v>
      </c>
      <c r="E9" s="20">
        <f t="shared" si="1"/>
        <v>0.8</v>
      </c>
      <c r="F9" s="5">
        <v>1</v>
      </c>
      <c r="G9" s="5">
        <v>0</v>
      </c>
      <c r="H9" s="5">
        <v>0</v>
      </c>
    </row>
    <row r="10" spans="1:8" x14ac:dyDescent="0.35">
      <c r="A10" t="s">
        <v>140</v>
      </c>
      <c r="B10">
        <v>0</v>
      </c>
      <c r="C10">
        <v>0</v>
      </c>
      <c r="D10">
        <f t="shared" si="0"/>
        <v>0</v>
      </c>
      <c r="E10" s="9">
        <f t="shared" si="1"/>
        <v>0</v>
      </c>
      <c r="F10">
        <v>0</v>
      </c>
      <c r="G10">
        <v>0</v>
      </c>
      <c r="H10">
        <v>0</v>
      </c>
    </row>
    <row r="11" spans="1:8" s="5" customFormat="1" x14ac:dyDescent="0.35">
      <c r="A11" s="5" t="s">
        <v>141</v>
      </c>
      <c r="B11" s="5">
        <v>0</v>
      </c>
      <c r="C11" s="5">
        <v>0</v>
      </c>
      <c r="D11" s="5">
        <f t="shared" si="0"/>
        <v>0</v>
      </c>
      <c r="E11" s="18">
        <f t="shared" si="1"/>
        <v>0</v>
      </c>
      <c r="F11" s="5">
        <v>0</v>
      </c>
      <c r="G11" s="5">
        <v>0</v>
      </c>
      <c r="H11" s="5">
        <v>0</v>
      </c>
    </row>
    <row r="12" spans="1:8" x14ac:dyDescent="0.35">
      <c r="A12" t="s">
        <v>142</v>
      </c>
      <c r="B12">
        <v>0</v>
      </c>
      <c r="C12">
        <v>0</v>
      </c>
      <c r="D12">
        <f t="shared" si="0"/>
        <v>0</v>
      </c>
      <c r="E12" s="9">
        <f t="shared" si="1"/>
        <v>0</v>
      </c>
      <c r="F12">
        <v>0</v>
      </c>
      <c r="G12">
        <v>0</v>
      </c>
      <c r="H12">
        <v>0</v>
      </c>
    </row>
    <row r="13" spans="1:8" s="5" customFormat="1" x14ac:dyDescent="0.35">
      <c r="A13" s="5" t="s">
        <v>143</v>
      </c>
      <c r="B13" s="5">
        <v>0</v>
      </c>
      <c r="C13" s="5">
        <v>0</v>
      </c>
      <c r="D13" s="5">
        <f t="shared" si="0"/>
        <v>0</v>
      </c>
      <c r="E13" s="18">
        <f t="shared" si="1"/>
        <v>0</v>
      </c>
      <c r="F13" s="5">
        <v>0</v>
      </c>
      <c r="G13" s="5">
        <v>0</v>
      </c>
      <c r="H13" s="5">
        <v>0</v>
      </c>
    </row>
    <row r="14" spans="1:8" x14ac:dyDescent="0.35">
      <c r="A14" t="s">
        <v>144</v>
      </c>
      <c r="B14">
        <v>0</v>
      </c>
      <c r="C14">
        <v>0</v>
      </c>
      <c r="D14">
        <f t="shared" si="0"/>
        <v>0</v>
      </c>
      <c r="E14" s="9">
        <f t="shared" si="1"/>
        <v>0</v>
      </c>
      <c r="F14">
        <v>0</v>
      </c>
      <c r="G14">
        <v>0</v>
      </c>
      <c r="H14">
        <v>0</v>
      </c>
    </row>
    <row r="15" spans="1:8" s="5" customFormat="1" x14ac:dyDescent="0.35">
      <c r="A15" s="5" t="s">
        <v>145</v>
      </c>
      <c r="B15" s="5">
        <v>0</v>
      </c>
      <c r="C15" s="5">
        <v>0</v>
      </c>
      <c r="D15" s="5">
        <f t="shared" si="0"/>
        <v>0</v>
      </c>
      <c r="E15" s="18">
        <f t="shared" si="1"/>
        <v>0</v>
      </c>
      <c r="F15" s="5">
        <v>0</v>
      </c>
      <c r="G15" s="5">
        <v>0</v>
      </c>
      <c r="H15" s="5">
        <v>0</v>
      </c>
    </row>
    <row r="16" spans="1:8" x14ac:dyDescent="0.35">
      <c r="A16" t="s">
        <v>146</v>
      </c>
      <c r="B16">
        <v>0</v>
      </c>
      <c r="C16">
        <v>0</v>
      </c>
      <c r="D16">
        <f t="shared" si="0"/>
        <v>0</v>
      </c>
      <c r="E16" s="9">
        <f t="shared" si="1"/>
        <v>0</v>
      </c>
      <c r="F16">
        <v>0</v>
      </c>
      <c r="G16">
        <v>0</v>
      </c>
      <c r="H16">
        <v>0</v>
      </c>
    </row>
    <row r="17" spans="1:8" s="3" customFormat="1" x14ac:dyDescent="0.35">
      <c r="A17" s="3" t="s">
        <v>147</v>
      </c>
      <c r="B17" s="3">
        <f>SUM(B5:B16)</f>
        <v>12</v>
      </c>
      <c r="C17" s="3">
        <f>SUM(C5:C16)</f>
        <v>3</v>
      </c>
      <c r="D17" s="3">
        <f>SUM(D5:D16)</f>
        <v>15</v>
      </c>
      <c r="E17" s="21">
        <f t="shared" si="1"/>
        <v>0.8</v>
      </c>
      <c r="F17" s="3">
        <f>SUM(F5:F16)</f>
        <v>1</v>
      </c>
      <c r="G17" s="3">
        <f>SUM(G5:G16)</f>
        <v>0</v>
      </c>
      <c r="H17" s="6">
        <f>IF(G17&gt;0,SUMPRODUCT(H5:H16,G5:G16)/G17,0)</f>
        <v>0</v>
      </c>
    </row>
    <row r="18" spans="1:8" ht="10" customHeight="1" x14ac:dyDescent="0.35"/>
    <row r="19" spans="1:8" ht="22" customHeight="1" x14ac:dyDescent="0.35">
      <c r="A19" s="3" t="s">
        <v>148</v>
      </c>
    </row>
    <row r="20" spans="1:8" ht="36" customHeight="1" x14ac:dyDescent="0.35">
      <c r="A20" s="3" t="s">
        <v>52</v>
      </c>
      <c r="B20" s="3" t="s">
        <v>149</v>
      </c>
      <c r="C20" s="3" t="s">
        <v>65</v>
      </c>
      <c r="D20" s="3" t="s">
        <v>72</v>
      </c>
      <c r="E20" s="3" t="s">
        <v>79</v>
      </c>
      <c r="F20" s="3" t="s">
        <v>150</v>
      </c>
      <c r="G20" s="3" t="s">
        <v>151</v>
      </c>
    </row>
    <row r="21" spans="1:8" s="5" customFormat="1" x14ac:dyDescent="0.35">
      <c r="A21" s="5" t="s">
        <v>11</v>
      </c>
      <c r="B21" s="5">
        <v>30</v>
      </c>
      <c r="C21" s="5">
        <v>30</v>
      </c>
      <c r="D21" s="5">
        <v>0</v>
      </c>
      <c r="E21" s="5">
        <v>0</v>
      </c>
      <c r="F21" s="19">
        <f t="shared" ref="F21:F27" si="2">IF(B21&gt;0,C21/B21,0)</f>
        <v>1</v>
      </c>
      <c r="G21" s="5" t="s">
        <v>152</v>
      </c>
    </row>
    <row r="22" spans="1:8" x14ac:dyDescent="0.35">
      <c r="A22" t="s">
        <v>13</v>
      </c>
      <c r="B22">
        <v>8</v>
      </c>
      <c r="C22">
        <v>7</v>
      </c>
      <c r="D22">
        <v>0</v>
      </c>
      <c r="E22" s="16">
        <v>1</v>
      </c>
      <c r="F22" s="22">
        <f t="shared" si="2"/>
        <v>0.875</v>
      </c>
      <c r="G22" t="s">
        <v>153</v>
      </c>
    </row>
    <row r="23" spans="1:8" s="5" customFormat="1" x14ac:dyDescent="0.35">
      <c r="A23" s="5" t="s">
        <v>14</v>
      </c>
      <c r="B23" s="5">
        <v>8</v>
      </c>
      <c r="C23" s="5">
        <v>8</v>
      </c>
      <c r="D23" s="5">
        <v>0</v>
      </c>
      <c r="E23" s="5">
        <v>0</v>
      </c>
      <c r="F23" s="19">
        <f t="shared" si="2"/>
        <v>1</v>
      </c>
      <c r="G23" s="5" t="s">
        <v>152</v>
      </c>
    </row>
    <row r="24" spans="1:8" x14ac:dyDescent="0.35">
      <c r="A24" t="s">
        <v>15</v>
      </c>
      <c r="B24">
        <v>30</v>
      </c>
      <c r="C24">
        <v>27</v>
      </c>
      <c r="D24" s="15">
        <v>3</v>
      </c>
      <c r="E24">
        <v>0</v>
      </c>
      <c r="F24" s="23">
        <f t="shared" si="2"/>
        <v>0.9</v>
      </c>
      <c r="G24" t="s">
        <v>152</v>
      </c>
    </row>
    <row r="25" spans="1:8" s="5" customFormat="1" x14ac:dyDescent="0.35">
      <c r="A25" s="5" t="s">
        <v>16</v>
      </c>
      <c r="B25" s="5">
        <v>30</v>
      </c>
      <c r="C25" s="5">
        <v>30</v>
      </c>
      <c r="D25" s="5">
        <v>0</v>
      </c>
      <c r="E25" s="5">
        <v>0</v>
      </c>
      <c r="F25" s="19">
        <f t="shared" si="2"/>
        <v>1</v>
      </c>
      <c r="G25" s="5" t="s">
        <v>154</v>
      </c>
    </row>
    <row r="26" spans="1:8" x14ac:dyDescent="0.35">
      <c r="A26" t="s">
        <v>17</v>
      </c>
      <c r="B26">
        <v>4</v>
      </c>
      <c r="C26">
        <v>4</v>
      </c>
      <c r="D26">
        <v>0</v>
      </c>
      <c r="E26">
        <v>0</v>
      </c>
      <c r="F26" s="19">
        <f t="shared" si="2"/>
        <v>1</v>
      </c>
      <c r="G26" t="s">
        <v>152</v>
      </c>
    </row>
    <row r="27" spans="1:8" s="5" customFormat="1" x14ac:dyDescent="0.35">
      <c r="A27" s="5" t="s">
        <v>18</v>
      </c>
      <c r="B27" s="5">
        <v>4</v>
      </c>
      <c r="C27" s="5">
        <v>3</v>
      </c>
      <c r="D27" s="15">
        <v>1</v>
      </c>
      <c r="E27" s="5">
        <v>0</v>
      </c>
      <c r="F27" s="22">
        <f t="shared" si="2"/>
        <v>0.75</v>
      </c>
      <c r="G27" s="5" t="s">
        <v>152</v>
      </c>
    </row>
    <row r="28" spans="1:8" ht="10" customHeight="1" x14ac:dyDescent="0.35"/>
    <row r="29" spans="1:8" ht="40" customHeight="1" x14ac:dyDescent="0.35">
      <c r="A29" s="24" t="s">
        <v>155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5A16-27D6-48D9-8A14-28B457A3D6EF}">
  <sheetPr>
    <tabColor rgb="FFFFEB9C"/>
  </sheetPr>
  <dimension ref="A1:O6"/>
  <sheetViews>
    <sheetView workbookViewId="0">
      <selection activeCell="A6" sqref="A6"/>
    </sheetView>
  </sheetViews>
  <sheetFormatPr defaultRowHeight="14.5" x14ac:dyDescent="0.35"/>
  <cols>
    <col min="1" max="1" width="12.6328125" customWidth="1"/>
    <col min="2" max="2" width="30.6328125" customWidth="1"/>
    <col min="3" max="3" width="14.6328125" customWidth="1"/>
    <col min="4" max="4" width="18.6328125" customWidth="1"/>
    <col min="5" max="5" width="32.6328125" customWidth="1"/>
    <col min="6" max="6" width="42.6328125" customWidth="1"/>
    <col min="7" max="7" width="24.6328125" customWidth="1"/>
    <col min="8" max="9" width="44.6328125" customWidth="1"/>
    <col min="10" max="10" width="16.6328125" customWidth="1"/>
    <col min="11" max="11" width="24.6328125" customWidth="1"/>
    <col min="12" max="13" width="14.6328125" customWidth="1"/>
    <col min="14" max="14" width="12.6328125" customWidth="1"/>
    <col min="15" max="15" width="20.6328125" customWidth="1"/>
  </cols>
  <sheetData>
    <row r="1" spans="1:15" ht="30" customHeight="1" x14ac:dyDescent="0.35">
      <c r="A1" s="25" t="s">
        <v>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38" customHeight="1" x14ac:dyDescent="0.35">
      <c r="A2" s="4" t="s">
        <v>93</v>
      </c>
      <c r="B2" s="4" t="s">
        <v>94</v>
      </c>
      <c r="C2" s="4" t="s">
        <v>49</v>
      </c>
      <c r="D2" s="4" t="s">
        <v>52</v>
      </c>
      <c r="E2" s="4" t="s">
        <v>95</v>
      </c>
      <c r="F2" s="4" t="s">
        <v>96</v>
      </c>
      <c r="G2" s="4" t="s">
        <v>97</v>
      </c>
      <c r="H2" s="4" t="s">
        <v>98</v>
      </c>
      <c r="I2" s="4" t="s">
        <v>99</v>
      </c>
      <c r="J2" s="4" t="s">
        <v>100</v>
      </c>
      <c r="K2" s="4" t="s">
        <v>22</v>
      </c>
      <c r="L2" s="4" t="s">
        <v>101</v>
      </c>
      <c r="M2" s="4" t="s">
        <v>102</v>
      </c>
      <c r="N2" s="4" t="s">
        <v>103</v>
      </c>
      <c r="O2" s="4" t="s">
        <v>104</v>
      </c>
    </row>
    <row r="3" spans="1:15" x14ac:dyDescent="0.35">
      <c r="A3" t="s">
        <v>105</v>
      </c>
      <c r="B3" t="s">
        <v>106</v>
      </c>
      <c r="C3" t="s">
        <v>74</v>
      </c>
      <c r="D3" t="s">
        <v>13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s="14" t="s">
        <v>113</v>
      </c>
      <c r="L3" s="12">
        <v>45363</v>
      </c>
      <c r="M3" s="12">
        <v>45370</v>
      </c>
      <c r="N3" s="17">
        <v>7</v>
      </c>
      <c r="O3" t="s">
        <v>114</v>
      </c>
    </row>
    <row r="4" spans="1:15" x14ac:dyDescent="0.35">
      <c r="A4" t="s">
        <v>115</v>
      </c>
      <c r="B4" t="s">
        <v>116</v>
      </c>
      <c r="C4" t="s">
        <v>60</v>
      </c>
      <c r="D4" t="s">
        <v>15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112</v>
      </c>
      <c r="K4" s="15" t="s">
        <v>122</v>
      </c>
      <c r="L4" s="12">
        <v>45397</v>
      </c>
      <c r="N4" s="17">
        <v>759</v>
      </c>
    </row>
    <row r="5" spans="1:15" x14ac:dyDescent="0.35">
      <c r="N5" s="17">
        <f ca="1">IF(M5&lt;&gt;"",M5-L5,TODAY()-L5)</f>
        <v>46158</v>
      </c>
    </row>
    <row r="6" spans="1:15" x14ac:dyDescent="0.35">
      <c r="A6" s="11" t="s">
        <v>123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Incident_Summary</vt:lpstr>
      <vt:lpstr>DQ_Health_Check_Log</vt:lpstr>
      <vt:lpstr>Prevention_KPI</vt:lpstr>
      <vt:lpstr>Problem_Tracker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2026-05-14T10:08:10Z</dcterms:created>
  <dcterms:modified xsi:type="dcterms:W3CDTF">2026-05-16T09:51:42Z</dcterms:modified>
</cp:coreProperties>
</file>