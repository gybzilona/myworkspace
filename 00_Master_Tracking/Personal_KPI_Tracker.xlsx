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any\New folder\00_Master_Tracking\"/>
    </mc:Choice>
  </mc:AlternateContent>
  <xr:revisionPtr revIDLastSave="0" documentId="13_ncr:1_{887C6020-5F9A-4A4F-9251-2153DC5B2A12}" xr6:coauthVersionLast="47" xr6:coauthVersionMax="47" xr10:uidLastSave="{00000000-0000-0000-0000-000000000000}"/>
  <bookViews>
    <workbookView xWindow="-21720" yWindow="-120" windowWidth="21840" windowHeight="13020" activeTab="1" xr2:uid="{1108BF3C-0A55-4B33-B5F2-32DE01AAB08E}"/>
  </bookViews>
  <sheets>
    <sheet name="KPI Dashboard" sheetId="1" r:id="rId1"/>
    <sheet name="Scoring Criteria" sheetId="2" r:id="rId2"/>
    <sheet name="Evidence Log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G10" i="1"/>
  <c r="F10" i="1"/>
  <c r="G9" i="1"/>
  <c r="F9" i="1"/>
  <c r="G8" i="1"/>
  <c r="F8" i="1"/>
  <c r="G7" i="1"/>
  <c r="F7" i="1"/>
  <c r="G6" i="1"/>
  <c r="F6" i="1"/>
</calcChain>
</file>

<file path=xl/sharedStrings.xml><?xml version="1.0" encoding="utf-8"?>
<sst xmlns="http://schemas.openxmlformats.org/spreadsheetml/2006/main" count="207" uniqueCount="129">
  <si>
    <t>Personal KPI Tracker - Gift | Q2 2026 | BDSI Data Team</t>
  </si>
  <si>
    <t>Review Period: Apr - Jun 2026   |   Target Overall Score: 3.5+</t>
  </si>
  <si>
    <t>KPI SCORECARD -- CONTROLLABLE KPIs ONLY (C1 Corporate is shared; no evidence needed)</t>
  </si>
  <si>
    <t>#</t>
  </si>
  <si>
    <t>KPI Area</t>
  </si>
  <si>
    <t>Weight</t>
  </si>
  <si>
    <t>Target</t>
  </si>
  <si>
    <t>Score (1-5)</t>
  </si>
  <si>
    <t>Weighted Score</t>
  </si>
  <si>
    <t>Status</t>
  </si>
  <si>
    <t>Key Evidence</t>
  </si>
  <si>
    <t>Q2 Milestone</t>
  </si>
  <si>
    <t>C1</t>
  </si>
  <si>
    <t>Corporate - Building Traffic</t>
  </si>
  <si>
    <t>n/a</t>
  </si>
  <si>
    <t>Corporate</t>
  </si>
  <si>
    <t>Shared corporate metric -- no personal evidence needed</t>
  </si>
  <si>
    <t>D1</t>
  </si>
  <si>
    <t>Data-Driven Organization</t>
  </si>
  <si>
    <t>D2</t>
  </si>
  <si>
    <t>Project Lead -- Impact Projects</t>
  </si>
  <si>
    <t>D3</t>
  </si>
  <si>
    <t>Project Lead -- BAU &amp; MIS</t>
  </si>
  <si>
    <t>MIS task tracker updated weekly, status visible, no missed deadlines</t>
  </si>
  <si>
    <t>I1</t>
  </si>
  <si>
    <t>Data Governance Framework</t>
  </si>
  <si>
    <t>UAM/RBAC + Metadata + DQ + Incident -- all 4 delivered + operational</t>
  </si>
  <si>
    <t>I2</t>
  </si>
  <si>
    <t>Monitoring / Job Error Tracking</t>
  </si>
  <si>
    <t>DQ prevention rate target &gt;70%, problem records resolved with RCA</t>
  </si>
  <si>
    <t>OVERALL WEIGHTED SCORE (D1+D2+D3+I1+I2 only)</t>
  </si>
  <si>
    <t>On Track</t>
  </si>
  <si>
    <t>Watch</t>
  </si>
  <si>
    <t>At Risk</t>
  </si>
  <si>
    <t>Score &gt;= Target</t>
  </si>
  <si>
    <t>Score = Target - 1</t>
  </si>
  <si>
    <t>Score &lt; Target - 1</t>
  </si>
  <si>
    <t>KPI Scoring Criteria (1-5) - Evidence-Based Reference</t>
  </si>
  <si>
    <t>Self-assess your score, match evidence to criteria, present to manager with output files. Scores are output and adoption based -- not deadline based.</t>
  </si>
  <si>
    <t>D1  |  Data-Driven Organization (15%)</t>
  </si>
  <si>
    <t>Score</t>
  </si>
  <si>
    <t>Level</t>
  </si>
  <si>
    <t>Criteria -- What this score requires (evidence-based)</t>
  </si>
  <si>
    <t>Excellent</t>
  </si>
  <si>
    <t>Good</t>
  </si>
  <si>
    <t>Satisfactory</t>
  </si>
  <si>
    <t>Needs Improvement</t>
  </si>
  <si>
    <t>Data dict incomplete or not referenced by Chat-to-Data. Only DX/Marketing team using dashboards. No new modules added. Ad-hoc delivery only.</t>
  </si>
  <si>
    <t>Unsatisfactory</t>
  </si>
  <si>
    <t>No usable data dict. No active BU users beyond DX. No new dashboard modules.</t>
  </si>
  <si>
    <t>D2  |  Project Lead -- Impact Projects (15%)</t>
  </si>
  <si>
    <t>Validation delayed or incomplete. 1+ task not started. Some reports affected post-cutover requiring reactive fixes.</t>
  </si>
  <si>
    <t>No validation performed. Reports broken post-cutover with no PM oversight.</t>
  </si>
  <si>
    <t>D3  |  Project Lead -- BAU &amp; MIS Management (10%)</t>
  </si>
  <si>
    <t>Tracker exists but inconsistently updated. Some tasks late or unaccounted for. Manager needs to ask for updates.</t>
  </si>
  <si>
    <t>No tracking system. Fully reactive task management.</t>
  </si>
  <si>
    <t>I1  |  Data Governance Framework (30%) -- HIGHEST WEIGHT</t>
  </si>
  <si>
    <t>2-3 domains delivered. At least 1 domain not operational or team still fully dependent on you for execution.</t>
  </si>
  <si>
    <t>Fewer than 2 domains delivered. Framework not in active use.</t>
  </si>
  <si>
    <t>I2  |  Monitoring / Job Error Tracking (10%)</t>
  </si>
  <si>
    <t>Prevention rate consistently &gt;70% (proactive catches exceed user-reported incidents). All open Problem records resolved with documented RCA and countermeasure. At least 1 new automated check rule added per closed Problem record. Monitoring report presented to management with improvement trend shown.</t>
  </si>
  <si>
    <t>Prevention rate reaches &gt;70% by end of Q2. 2 open Problem records (PRB-001, PRB-002) closed with RCA and countermeasure applied. Regular DQ health summary produced.</t>
  </si>
  <si>
    <t>Incident tracking active in SDP. DQ monitoring report produced and shared. Prevention rate improving (even if below 70%). Problem records opened for recurring issues.</t>
  </si>
  <si>
    <t>Tracking exists but not maintained regularly. Prevention rate not measured. Problem records open with no RCA progress.</t>
  </si>
  <si>
    <t>No systematic monitoring. Incidents handled reactively with no tracking or root cause analysis.</t>
  </si>
  <si>
    <t>Evidence Log - Q2 2026 (Apr / May / Jun)</t>
  </si>
  <si>
    <t>KPI</t>
  </si>
  <si>
    <t>Month</t>
  </si>
  <si>
    <t>Evidence Description</t>
  </si>
  <si>
    <t>Output File / Link</t>
  </si>
  <si>
    <t>Verified by Manager</t>
  </si>
  <si>
    <t>Score Claimed</t>
  </si>
  <si>
    <t>Data-Driven Org</t>
  </si>
  <si>
    <t>Apr</t>
  </si>
  <si>
    <t>Metadata SOP revised + published (SPW-BDSI-SP-002)</t>
  </si>
  <si>
    <t>Metadata_SOP_Revised_Phase1.docx</t>
  </si>
  <si>
    <t>Datahub metadata template 52-col delivered for Chat-to-Data</t>
  </si>
  <si>
    <t>Datahub_metadata_template.xlsx</t>
  </si>
  <si>
    <t>May</t>
  </si>
  <si>
    <t>DQ 7-dimension framework delivered</t>
  </si>
  <si>
    <t>Data_Quality_Monitoring_Report.xlsx</t>
  </si>
  <si>
    <t>Jun</t>
  </si>
  <si>
    <t>nonGP tenant sale / Car traffic / Calendar master modules added</t>
  </si>
  <si>
    <t>(PowerBI link)</t>
  </si>
  <si>
    <t>TBD</t>
  </si>
  <si>
    <t>Finance/Ops BU team confirmed regular dashboard use</t>
  </si>
  <si>
    <t>(meeting record)</t>
  </si>
  <si>
    <t>Project Lead</t>
  </si>
  <si>
    <t>Tenant Recategory impact scoped + 6-sheet summary delivered</t>
  </si>
  <si>
    <t>Tenant_Recategory_Impact_SummaryList_BDSI.xlsx</t>
  </si>
  <si>
    <t>TUID daily validation complete after DE Brand Master commit</t>
  </si>
  <si>
    <t>Validation_Log\...</t>
  </si>
  <si>
    <t>BAU/MIS</t>
  </si>
  <si>
    <t>MIS 2026 roadmap + task tracker maintained and updated</t>
  </si>
  <si>
    <t>DS and MIS - Project 2026 8 May 26.xlsx</t>
  </si>
  <si>
    <t>Data Governance</t>
  </si>
  <si>
    <t>Mar</t>
  </si>
  <si>
    <t>RBAC Phase 1 matrix: positions + data entities defined</t>
  </si>
  <si>
    <t>RBAC for UAM.xlsx</t>
  </si>
  <si>
    <t>Metadata dict core A-H + AI cols AR-AZ complete</t>
  </si>
  <si>
    <t>DQ monitoring framework + incident flow + management PPT</t>
  </si>
  <si>
    <t>DQ_Management_Report.pptx</t>
  </si>
  <si>
    <t>RBAC matrix signed off by data owner (PENDING)</t>
  </si>
  <si>
    <t>Monitoring</t>
  </si>
  <si>
    <t>Incident tracking flow + SDP log structure established</t>
  </si>
  <si>
    <t>Incident_Management_Flow.pptx</t>
  </si>
  <si>
    <t>DQ monitoring report + management PPT delivered</t>
  </si>
  <si>
    <t>ongoing</t>
  </si>
  <si>
    <t>Weekly DQ health log + job errors tracked in SDP</t>
  </si>
  <si>
    <t>Draft Incident Management Track.xlsx</t>
  </si>
  <si>
    <t>&lt;-- Add new evidence rows here as work is completed</t>
  </si>
  <si>
    <t xml:space="preserve">Data dict usable by Chat-to-Data
Increase executive / BU  dashboards </t>
  </si>
  <si>
    <t>TUID validation complete after DE commit. Segment Maintenance and BU Group Category scoped and in progress. No critical BDSI reports broken post-cutover.</t>
  </si>
  <si>
    <t>MIS Task Management</t>
  </si>
  <si>
    <t>All 4 domains delivered within agreed scope:
-RBAC matrix complete
-metadata dict accessible
-DQ health checks running
-incident tracking flow documented and SDP log active.</t>
  </si>
  <si>
    <r>
      <t xml:space="preserve">All frameworks operational </t>
    </r>
    <r>
      <rPr>
        <b/>
        <sz val="11"/>
        <color rgb="FFFF0000"/>
        <rFont val="Calibri"/>
        <family val="2"/>
        <scheme val="minor"/>
      </rPr>
      <t>and usable</t>
    </r>
    <r>
      <rPr>
        <b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Team can work without depending on you day-to-day.
At least 1 domain expanded beyond original agreed scope. </t>
    </r>
  </si>
  <si>
    <t xml:space="preserve">All frameworks operational and usable. Team can work without depending on you day-to-day.
At least &gt;1 domain expanded beyond original agreed scope. </t>
  </si>
  <si>
    <t>Tenant Recategory 
NonGP tenant sale, Traffic, Calendar master</t>
  </si>
  <si>
    <t>UAM
Metadata
Data Quality
Incident handling</t>
  </si>
  <si>
    <r>
      <rPr>
        <b/>
        <sz val="11"/>
        <color theme="1"/>
        <rFont val="Calibri"/>
        <family val="2"/>
        <scheme val="minor"/>
      </rPr>
      <t>Analytic Delivery</t>
    </r>
    <r>
      <rPr>
        <sz val="11"/>
        <color theme="1"/>
        <rFont val="Calibri"/>
        <family val="2"/>
        <scheme val="minor"/>
      </rPr>
      <t xml:space="preserve">
-Usage impact report CX43 , CX44
-User Training
</t>
    </r>
    <r>
      <rPr>
        <b/>
        <sz val="11"/>
        <color theme="1"/>
        <rFont val="Calibri"/>
        <family val="2"/>
        <scheme val="minor"/>
      </rPr>
      <t>Data Infrastructure</t>
    </r>
    <r>
      <rPr>
        <sz val="11"/>
        <color theme="1"/>
        <rFont val="Calibri"/>
        <family val="2"/>
        <scheme val="minor"/>
      </rPr>
      <t xml:space="preserve">
-Chat to data (Data Dict)
-Data Quality Framework (DQ Management report)</t>
    </r>
  </si>
  <si>
    <r>
      <rPr>
        <b/>
        <sz val="11"/>
        <color theme="1"/>
        <rFont val="Calibri"/>
        <family val="2"/>
        <scheme val="minor"/>
      </rPr>
      <t xml:space="preserve">Tenant Recategory
</t>
    </r>
    <r>
      <rPr>
        <sz val="11"/>
        <color theme="1"/>
        <rFont val="Calibri"/>
        <family val="2"/>
        <scheme val="minor"/>
      </rPr>
      <t xml:space="preserve">-Validate
-Enhance
</t>
    </r>
    <r>
      <rPr>
        <b/>
        <sz val="11"/>
        <color theme="1"/>
        <rFont val="Calibri"/>
        <family val="2"/>
        <scheme val="minor"/>
      </rPr>
      <t>Footfall
-</t>
    </r>
    <r>
      <rPr>
        <sz val="11"/>
        <color theme="1"/>
        <rFont val="Calibri"/>
        <family val="2"/>
        <scheme val="minor"/>
      </rPr>
      <t xml:space="preserve">Keep enhance
</t>
    </r>
    <r>
      <rPr>
        <b/>
        <sz val="11"/>
        <color theme="1"/>
        <rFont val="Calibri"/>
        <family val="2"/>
        <scheme val="minor"/>
      </rPr>
      <t>Calendar / Non GP Sale ...</t>
    </r>
  </si>
  <si>
    <t>Data dict delivered and accessible. 
At least 1 non-DX BU team regularly using dashboards (e.g. Finance or Operations receiving regular reports). 
1 new impact module added. Regular BU report distribution with dashboard reference.</t>
  </si>
  <si>
    <r>
      <t xml:space="preserve">All 3 tasks complete (TUID validation, Segment Maintenance, DA Group Category). 
Proactively identified issues before DE commit cutover.
All impacted BDSI reports validated with zero data breakage post-recategorisation. 
</t>
    </r>
    <r>
      <rPr>
        <b/>
        <sz val="11"/>
        <color rgb="FFFF0000"/>
        <rFont val="Calibri"/>
        <family val="2"/>
        <scheme val="minor"/>
      </rPr>
      <t>More impact project lead</t>
    </r>
  </si>
  <si>
    <r>
      <t xml:space="preserve">All 3 tasks complete (TUID validation, Segment Maintenance, DA Group Category). 
</t>
    </r>
    <r>
      <rPr>
        <b/>
        <sz val="11"/>
        <color rgb="FFFF0000"/>
        <rFont val="Calibri"/>
        <family val="2"/>
        <scheme val="minor"/>
      </rPr>
      <t xml:space="preserve">Proactively identified issues before DE commit cutover.
All impacted BDSI reports validated with zero data breakage post-recategorisation. </t>
    </r>
  </si>
  <si>
    <r>
      <t xml:space="preserve">-Data dict complete and usable by Chat-to-Data. 
-2+ non-DX BU teams </t>
    </r>
    <r>
      <rPr>
        <b/>
        <sz val="11"/>
        <color rgb="FFFF0000"/>
        <rFont val="Calibri"/>
        <family val="2"/>
        <scheme val="minor"/>
      </rPr>
      <t xml:space="preserve">actively using dashboards. </t>
    </r>
    <r>
      <rPr>
        <sz val="11"/>
        <color theme="1"/>
        <rFont val="Calibri"/>
        <family val="2"/>
        <scheme val="minor"/>
      </rPr>
      <t xml:space="preserve">
-2 new impact modules added. 
</t>
    </r>
  </si>
  <si>
    <r>
      <t xml:space="preserve">-Data dict delivered and actively referenced by Chat-to-Data. 
-BU teams (including Finance or Operations -- not just DX/Marketing) </t>
    </r>
    <r>
      <rPr>
        <b/>
        <sz val="11"/>
        <color rgb="FFFF0000"/>
        <rFont val="Calibri"/>
        <family val="2"/>
        <scheme val="minor"/>
      </rPr>
      <t>using your report in regular workflow.</t>
    </r>
    <r>
      <rPr>
        <sz val="11"/>
        <color theme="1"/>
        <rFont val="Calibri"/>
        <family val="2"/>
        <scheme val="minor"/>
      </rPr>
      <t xml:space="preserve">
-New impact modules added (nonGP tenant sale, car traffic, calendar master). </t>
    </r>
  </si>
  <si>
    <r>
      <t xml:space="preserve">MIS tracker updated consistently each week. No missed deadlines without prior flagging. Regular status visible to manager. </t>
    </r>
    <r>
      <rPr>
        <b/>
        <sz val="11"/>
        <color rgb="FFFF0000"/>
        <rFont val="Calibri"/>
        <family val="2"/>
        <scheme val="minor"/>
      </rPr>
      <t>Team clear on what is in progress.</t>
    </r>
  </si>
  <si>
    <r>
      <t xml:space="preserve">MIS task list maintained and updated. </t>
    </r>
    <r>
      <rPr>
        <b/>
        <sz val="11"/>
        <color rgb="FFFF0000"/>
        <rFont val="Calibri"/>
        <family val="2"/>
        <scheme val="minor"/>
      </rPr>
      <t>Tasks completed on time. Status available when requested by manager.</t>
    </r>
  </si>
  <si>
    <r>
      <t xml:space="preserve">All MIS tasks tracked weekly. Status visible to team and lead without needing to ask. Zero tasks dropped or missed . </t>
    </r>
    <r>
      <rPr>
        <b/>
        <sz val="11"/>
        <color rgb="FFFF0000"/>
        <rFont val="Calibri"/>
        <family val="2"/>
        <scheme val="minor"/>
      </rPr>
      <t>Process is documented and any team member could take over without re-briefing.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</si>
</sst>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1F497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501E78"/>
      <name val="Calibri"/>
      <family val="2"/>
      <scheme val="minor"/>
    </font>
    <font>
      <b/>
      <sz val="11"/>
      <color rgb="FF501E78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8"/>
      <color rgb="FF595959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501E78"/>
      <name val="Calibri"/>
      <family val="2"/>
      <scheme val="minor"/>
    </font>
    <font>
      <b/>
      <i/>
      <sz val="9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6D7FF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9" fillId="2" borderId="0" xfId="0" applyFont="1" applyFill="1" applyAlignment="1">
      <alignment horizontal="center" wrapText="1"/>
    </xf>
    <xf numFmtId="9" fontId="0" fillId="0" borderId="0" xfId="0" applyNumberFormat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0" fontId="1" fillId="4" borderId="0" xfId="0" applyFont="1" applyFill="1"/>
    <xf numFmtId="0" fontId="12" fillId="4" borderId="0" xfId="0" applyFont="1" applyFill="1" applyAlignment="1">
      <alignment horizontal="center"/>
    </xf>
    <xf numFmtId="2" fontId="0" fillId="0" borderId="0" xfId="0" applyNumberFormat="1"/>
    <xf numFmtId="0" fontId="3" fillId="5" borderId="0" xfId="0" applyFont="1" applyFill="1"/>
    <xf numFmtId="0" fontId="13" fillId="5" borderId="0" xfId="0" applyFont="1" applyFill="1" applyAlignment="1">
      <alignment horizontal="center"/>
    </xf>
    <xf numFmtId="0" fontId="2" fillId="6" borderId="0" xfId="0" applyFont="1" applyFill="1"/>
    <xf numFmtId="0" fontId="14" fillId="6" borderId="0" xfId="0" applyFont="1" applyFill="1" applyAlignment="1">
      <alignment horizontal="center"/>
    </xf>
    <xf numFmtId="0" fontId="15" fillId="7" borderId="0" xfId="0" applyFont="1" applyFill="1"/>
    <xf numFmtId="0" fontId="16" fillId="7" borderId="0" xfId="0" applyFont="1" applyFill="1" applyAlignment="1">
      <alignment horizontal="center"/>
    </xf>
    <xf numFmtId="2" fontId="17" fillId="0" borderId="0" xfId="0" applyNumberFormat="1" applyFont="1"/>
    <xf numFmtId="0" fontId="18" fillId="0" borderId="0" xfId="0" applyFont="1"/>
    <xf numFmtId="0" fontId="4" fillId="2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0" fontId="17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26" fillId="2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12" fillId="10" borderId="0" xfId="0" applyFont="1" applyFill="1" applyAlignment="1">
      <alignment horizontal="center"/>
    </xf>
    <xf numFmtId="0" fontId="1" fillId="10" borderId="0" xfId="0" applyFont="1" applyFill="1"/>
    <xf numFmtId="0" fontId="0" fillId="10" borderId="0" xfId="0" applyFill="1"/>
    <xf numFmtId="0" fontId="0" fillId="10" borderId="0" xfId="0" applyFill="1" applyAlignment="1">
      <alignment wrapText="1"/>
    </xf>
    <xf numFmtId="0" fontId="18" fillId="10" borderId="0" xfId="0" applyFont="1" applyFill="1"/>
    <xf numFmtId="0" fontId="0" fillId="1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 applyAlignment="1">
      <alignment horizontal="center"/>
    </xf>
    <xf numFmtId="0" fontId="2" fillId="10" borderId="0" xfId="0" applyFont="1" applyFill="1"/>
    <xf numFmtId="0" fontId="16" fillId="10" borderId="0" xfId="0" applyFont="1" applyFill="1" applyAlignment="1">
      <alignment horizontal="center"/>
    </xf>
    <xf numFmtId="0" fontId="15" fillId="10" borderId="0" xfId="0" applyFont="1" applyFill="1"/>
    <xf numFmtId="0" fontId="27" fillId="0" borderId="0" xfId="0" applyFont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/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5" fillId="7" borderId="0" xfId="0" applyFont="1" applyFill="1"/>
    <xf numFmtId="0" fontId="24" fillId="6" borderId="0" xfId="0" applyFont="1" applyFill="1"/>
    <xf numFmtId="0" fontId="23" fillId="5" borderId="0" xfId="0" applyFont="1" applyFill="1"/>
    <xf numFmtId="0" fontId="19" fillId="4" borderId="0" xfId="0" applyFont="1" applyFill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9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11" borderId="0" xfId="0" applyFill="1" applyAlignment="1">
      <alignment wrapText="1"/>
    </xf>
    <xf numFmtId="0" fontId="12" fillId="0" borderId="0" xfId="0" applyFont="1" applyFill="1" applyAlignment="1">
      <alignment horizontal="center"/>
    </xf>
    <xf numFmtId="0" fontId="12" fillId="0" borderId="0" xfId="0" applyFont="1" applyFill="1"/>
    <xf numFmtId="0" fontId="13" fillId="0" borderId="0" xfId="0" applyFont="1" applyFill="1" applyAlignment="1">
      <alignment horizontal="center"/>
    </xf>
    <xf numFmtId="0" fontId="13" fillId="0" borderId="0" xfId="0" applyFont="1" applyFill="1"/>
    <xf numFmtId="0" fontId="14" fillId="0" borderId="0" xfId="0" applyFont="1" applyFill="1" applyAlignment="1">
      <alignment horizontal="center"/>
    </xf>
    <xf numFmtId="0" fontId="14" fillId="0" borderId="0" xfId="0" applyFont="1" applyFill="1"/>
    <xf numFmtId="0" fontId="16" fillId="0" borderId="0" xfId="0" applyFont="1" applyFill="1" applyAlignment="1">
      <alignment horizontal="center"/>
    </xf>
    <xf numFmtId="0" fontId="16" fillId="0" borderId="0" xfId="0" applyFont="1" applyFill="1"/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BBA7-E775-4A60-B364-5C486CAD7E12}">
  <sheetPr>
    <tabColor rgb="FF1A2E4A"/>
  </sheetPr>
  <dimension ref="A1:I16"/>
  <sheetViews>
    <sheetView topLeftCell="A5" workbookViewId="0">
      <selection activeCell="H7" sqref="H7"/>
    </sheetView>
  </sheetViews>
  <sheetFormatPr defaultRowHeight="14.5" x14ac:dyDescent="0.35"/>
  <cols>
    <col min="1" max="1" width="5.6328125" customWidth="1"/>
    <col min="2" max="2" width="30.6328125" customWidth="1"/>
    <col min="3" max="4" width="8.6328125" customWidth="1"/>
    <col min="5" max="5" width="11.6328125" customWidth="1"/>
    <col min="6" max="6" width="14.6328125" hidden="1" customWidth="1"/>
    <col min="7" max="7" width="12.6328125" customWidth="1"/>
    <col min="8" max="8" width="42.6328125" customWidth="1"/>
    <col min="9" max="9" width="59.81640625" customWidth="1"/>
  </cols>
  <sheetData>
    <row r="1" spans="1:9" ht="32" customHeight="1" x14ac:dyDescent="0.4">
      <c r="A1" s="43" t="s">
        <v>0</v>
      </c>
      <c r="B1" s="44"/>
      <c r="C1" s="44"/>
      <c r="D1" s="44"/>
      <c r="E1" s="44"/>
      <c r="F1" s="44"/>
      <c r="G1" s="44"/>
      <c r="H1" s="44"/>
      <c r="I1" s="44"/>
    </row>
    <row r="2" spans="1:9" ht="20" customHeight="1" x14ac:dyDescent="0.35">
      <c r="A2" s="3" t="s">
        <v>1</v>
      </c>
    </row>
    <row r="3" spans="1:9" ht="22" customHeight="1" x14ac:dyDescent="0.35">
      <c r="A3" s="45" t="s">
        <v>2</v>
      </c>
      <c r="B3" s="46"/>
      <c r="C3" s="46"/>
      <c r="D3" s="46"/>
      <c r="E3" s="46"/>
      <c r="F3" s="46"/>
      <c r="G3" s="46"/>
      <c r="H3" s="46"/>
      <c r="I3" s="46"/>
    </row>
    <row r="4" spans="1:9" ht="36" customHeight="1" x14ac:dyDescent="0.3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ht="44" customHeight="1" x14ac:dyDescent="0.35">
      <c r="A5" s="53" t="s">
        <v>12</v>
      </c>
      <c r="B5" s="54" t="s">
        <v>13</v>
      </c>
      <c r="C5" s="55">
        <v>0.2</v>
      </c>
      <c r="D5" s="56" t="s">
        <v>14</v>
      </c>
      <c r="E5" s="57" t="s">
        <v>14</v>
      </c>
      <c r="F5" s="57" t="s">
        <v>14</v>
      </c>
      <c r="G5" s="57" t="s">
        <v>15</v>
      </c>
      <c r="H5" s="58" t="s">
        <v>16</v>
      </c>
      <c r="I5" s="58"/>
    </row>
    <row r="6" spans="1:9" ht="113" customHeight="1" x14ac:dyDescent="0.35">
      <c r="A6" s="59" t="s">
        <v>17</v>
      </c>
      <c r="B6" s="60" t="s">
        <v>18</v>
      </c>
      <c r="C6" s="5">
        <v>0.15</v>
      </c>
      <c r="D6" s="1">
        <v>4</v>
      </c>
      <c r="E6" s="6"/>
      <c r="F6" s="10" t="str">
        <f>IF(E6="","",E6*VALUE(SUBSTITUTE(C6,"%",""))/100)</f>
        <v/>
      </c>
      <c r="G6" s="1" t="str">
        <f>IF(E6="","Pending",IF(E6&gt;=D6,"On Track",IF(E6&gt;=D6-1,"Watch","At Risk")))</f>
        <v>Pending</v>
      </c>
      <c r="H6" s="7" t="s">
        <v>111</v>
      </c>
      <c r="I6" s="7" t="s">
        <v>119</v>
      </c>
    </row>
    <row r="7" spans="1:9" ht="98" customHeight="1" x14ac:dyDescent="0.35">
      <c r="A7" s="61" t="s">
        <v>19</v>
      </c>
      <c r="B7" s="62" t="s">
        <v>20</v>
      </c>
      <c r="C7" s="5">
        <v>0.15</v>
      </c>
      <c r="D7" s="1">
        <v>4</v>
      </c>
      <c r="E7" s="6"/>
      <c r="F7" s="10" t="str">
        <f>IF(E7="","",E7*VALUE(SUBSTITUTE(C7,"%",""))/100)</f>
        <v/>
      </c>
      <c r="G7" s="1" t="str">
        <f>IF(E7="","Pending",IF(E7&gt;=D7,"On Track",IF(E7&gt;=D7-1,"Watch","At Risk")))</f>
        <v>Pending</v>
      </c>
      <c r="H7" s="7" t="s">
        <v>117</v>
      </c>
      <c r="I7" s="7" t="s">
        <v>120</v>
      </c>
    </row>
    <row r="8" spans="1:9" ht="44" customHeight="1" x14ac:dyDescent="0.35">
      <c r="A8" s="61" t="s">
        <v>21</v>
      </c>
      <c r="B8" s="62" t="s">
        <v>22</v>
      </c>
      <c r="C8" s="5">
        <v>0.1</v>
      </c>
      <c r="D8" s="1">
        <v>4</v>
      </c>
      <c r="E8" s="6"/>
      <c r="F8" s="10" t="str">
        <f>IF(E8="","",E8*VALUE(SUBSTITUTE(C8,"%",""))/100)</f>
        <v/>
      </c>
      <c r="G8" s="1" t="str">
        <f>IF(E8="","Pending",IF(E8&gt;=D8,"On Track",IF(E8&gt;=D8-1,"Watch","At Risk")))</f>
        <v>Pending</v>
      </c>
      <c r="H8" s="7" t="s">
        <v>23</v>
      </c>
      <c r="I8" s="7" t="s">
        <v>113</v>
      </c>
    </row>
    <row r="9" spans="1:9" ht="71" customHeight="1" x14ac:dyDescent="0.35">
      <c r="A9" s="63" t="s">
        <v>24</v>
      </c>
      <c r="B9" s="64" t="s">
        <v>25</v>
      </c>
      <c r="C9" s="5">
        <v>0.3</v>
      </c>
      <c r="D9" s="1">
        <v>4</v>
      </c>
      <c r="E9" s="6"/>
      <c r="F9" s="10" t="str">
        <f>IF(E9="","",E9*VALUE(SUBSTITUTE(C9,"%",""))/100)</f>
        <v/>
      </c>
      <c r="G9" s="1" t="str">
        <f>IF(E9="","Pending",IF(E9&gt;=D9,"On Track",IF(E9&gt;=D9-1,"Watch","At Risk")))</f>
        <v>Pending</v>
      </c>
      <c r="H9" s="7" t="s">
        <v>26</v>
      </c>
      <c r="I9" s="7" t="s">
        <v>118</v>
      </c>
    </row>
    <row r="10" spans="1:9" ht="44" customHeight="1" x14ac:dyDescent="0.35">
      <c r="A10" s="65" t="s">
        <v>27</v>
      </c>
      <c r="B10" s="66" t="s">
        <v>28</v>
      </c>
      <c r="C10" s="5">
        <v>0.1</v>
      </c>
      <c r="D10" s="1">
        <v>4</v>
      </c>
      <c r="E10" s="6"/>
      <c r="F10" s="10" t="str">
        <f>IF(E10="","",E10*VALUE(SUBSTITUTE(C10,"%",""))/100)</f>
        <v/>
      </c>
      <c r="G10" s="1" t="str">
        <f>IF(E10="","Pending",IF(E10&gt;=D10,"On Track",IF(E10&gt;=D10-1,"Watch","At Risk")))</f>
        <v>Pending</v>
      </c>
      <c r="H10" s="7" t="s">
        <v>29</v>
      </c>
      <c r="I10" s="7" t="s">
        <v>29</v>
      </c>
    </row>
    <row r="11" spans="1:9" ht="8" customHeight="1" x14ac:dyDescent="0.35"/>
    <row r="12" spans="1:9" ht="22" customHeight="1" x14ac:dyDescent="0.45">
      <c r="A12" s="45" t="s">
        <v>30</v>
      </c>
      <c r="B12" s="46"/>
      <c r="C12" s="46"/>
      <c r="D12" s="46"/>
      <c r="E12" s="46"/>
      <c r="F12" s="17">
        <f>SUM(F6:F10)</f>
        <v>0</v>
      </c>
    </row>
    <row r="14" spans="1:9" x14ac:dyDescent="0.35">
      <c r="G14" s="8" t="s">
        <v>31</v>
      </c>
      <c r="H14" s="18" t="s">
        <v>34</v>
      </c>
    </row>
    <row r="15" spans="1:9" x14ac:dyDescent="0.35">
      <c r="G15" s="11" t="s">
        <v>32</v>
      </c>
      <c r="H15" s="18" t="s">
        <v>35</v>
      </c>
    </row>
    <row r="16" spans="1:9" x14ac:dyDescent="0.35">
      <c r="G16" s="13" t="s">
        <v>33</v>
      </c>
      <c r="H16" s="18" t="s">
        <v>36</v>
      </c>
    </row>
  </sheetData>
  <mergeCells count="3">
    <mergeCell ref="A1:I1"/>
    <mergeCell ref="A3:I3"/>
    <mergeCell ref="A12:E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EC9E-37B0-497E-82C5-9157586F0705}">
  <sheetPr>
    <tabColor rgb="FF2563A8"/>
  </sheetPr>
  <dimension ref="A1:F42"/>
  <sheetViews>
    <sheetView tabSelected="1" topLeftCell="A25" workbookViewId="0">
      <selection activeCell="C24" sqref="C24:F24"/>
    </sheetView>
  </sheetViews>
  <sheetFormatPr defaultRowHeight="14.5" x14ac:dyDescent="0.35"/>
  <cols>
    <col min="1" max="1" width="8.6328125" customWidth="1"/>
    <col min="2" max="2" width="18.6328125" customWidth="1"/>
    <col min="3" max="6" width="24.6328125" customWidth="1"/>
  </cols>
  <sheetData>
    <row r="1" spans="1:6" ht="32" customHeight="1" x14ac:dyDescent="0.4">
      <c r="A1" s="43" t="s">
        <v>37</v>
      </c>
      <c r="B1" s="44"/>
      <c r="C1" s="44"/>
      <c r="D1" s="44"/>
      <c r="E1" s="44"/>
      <c r="F1" s="44"/>
    </row>
    <row r="2" spans="1:6" ht="22" customHeight="1" x14ac:dyDescent="0.35">
      <c r="A2" s="2" t="s">
        <v>38</v>
      </c>
    </row>
    <row r="3" spans="1:6" ht="26" customHeight="1" x14ac:dyDescent="0.35">
      <c r="A3" s="52" t="s">
        <v>39</v>
      </c>
      <c r="B3" s="46"/>
      <c r="C3" s="46"/>
      <c r="D3" s="46"/>
      <c r="E3" s="46"/>
      <c r="F3" s="46"/>
    </row>
    <row r="4" spans="1:6" ht="26" customHeight="1" x14ac:dyDescent="0.35">
      <c r="A4" s="19" t="s">
        <v>40</v>
      </c>
      <c r="B4" s="19" t="s">
        <v>41</v>
      </c>
      <c r="C4" s="47" t="s">
        <v>42</v>
      </c>
      <c r="D4" s="47"/>
      <c r="E4" s="47"/>
      <c r="F4" s="47"/>
    </row>
    <row r="5" spans="1:6" ht="56" customHeight="1" x14ac:dyDescent="0.45">
      <c r="A5" s="20">
        <v>5</v>
      </c>
      <c r="B5" s="21" t="s">
        <v>43</v>
      </c>
      <c r="C5" s="67" t="s">
        <v>125</v>
      </c>
      <c r="D5" s="48"/>
      <c r="E5" s="48"/>
      <c r="F5" s="48"/>
    </row>
    <row r="6" spans="1:6" ht="56" customHeight="1" x14ac:dyDescent="0.45">
      <c r="A6" s="22">
        <v>4</v>
      </c>
      <c r="B6" s="9" t="s">
        <v>44</v>
      </c>
      <c r="C6" s="67" t="s">
        <v>124</v>
      </c>
      <c r="D6" s="48"/>
      <c r="E6" s="48"/>
      <c r="F6" s="48"/>
    </row>
    <row r="7" spans="1:6" ht="56" customHeight="1" x14ac:dyDescent="0.45">
      <c r="A7" s="23">
        <v>3</v>
      </c>
      <c r="B7" s="12" t="s">
        <v>45</v>
      </c>
      <c r="C7" s="48" t="s">
        <v>121</v>
      </c>
      <c r="D7" s="48"/>
      <c r="E7" s="48"/>
      <c r="F7" s="48"/>
    </row>
    <row r="8" spans="1:6" ht="56" customHeight="1" x14ac:dyDescent="0.45">
      <c r="A8" s="24">
        <v>2</v>
      </c>
      <c r="B8" s="14" t="s">
        <v>46</v>
      </c>
      <c r="C8" s="48" t="s">
        <v>47</v>
      </c>
      <c r="D8" s="48"/>
      <c r="E8" s="48"/>
      <c r="F8" s="48"/>
    </row>
    <row r="9" spans="1:6" ht="56" customHeight="1" x14ac:dyDescent="0.45">
      <c r="A9" s="25">
        <v>1</v>
      </c>
      <c r="B9" s="26" t="s">
        <v>48</v>
      </c>
      <c r="C9" s="48" t="s">
        <v>49</v>
      </c>
      <c r="D9" s="48"/>
      <c r="E9" s="48"/>
      <c r="F9" s="48"/>
    </row>
    <row r="10" spans="1:6" ht="10" customHeight="1" x14ac:dyDescent="0.35"/>
    <row r="11" spans="1:6" ht="26" customHeight="1" x14ac:dyDescent="0.35">
      <c r="A11" s="51" t="s">
        <v>50</v>
      </c>
      <c r="B11" s="46"/>
      <c r="C11" s="46"/>
      <c r="D11" s="46"/>
      <c r="E11" s="46"/>
      <c r="F11" s="46"/>
    </row>
    <row r="12" spans="1:6" ht="26" customHeight="1" x14ac:dyDescent="0.35">
      <c r="A12" s="19" t="s">
        <v>40</v>
      </c>
      <c r="B12" s="19" t="s">
        <v>41</v>
      </c>
      <c r="C12" s="47" t="s">
        <v>42</v>
      </c>
      <c r="D12" s="47"/>
      <c r="E12" s="47"/>
      <c r="F12" s="47"/>
    </row>
    <row r="13" spans="1:6" ht="78" customHeight="1" x14ac:dyDescent="0.45">
      <c r="A13" s="20">
        <v>5</v>
      </c>
      <c r="B13" s="21" t="s">
        <v>43</v>
      </c>
      <c r="C13" s="48" t="s">
        <v>122</v>
      </c>
      <c r="D13" s="48"/>
      <c r="E13" s="48"/>
      <c r="F13" s="48"/>
    </row>
    <row r="14" spans="1:6" ht="56" customHeight="1" x14ac:dyDescent="0.45">
      <c r="A14" s="22">
        <v>4</v>
      </c>
      <c r="B14" s="9" t="s">
        <v>44</v>
      </c>
      <c r="C14" s="48" t="s">
        <v>123</v>
      </c>
      <c r="D14" s="48"/>
      <c r="E14" s="48"/>
      <c r="F14" s="48"/>
    </row>
    <row r="15" spans="1:6" ht="56" customHeight="1" x14ac:dyDescent="0.45">
      <c r="A15" s="23">
        <v>3</v>
      </c>
      <c r="B15" s="12" t="s">
        <v>45</v>
      </c>
      <c r="C15" s="48" t="s">
        <v>112</v>
      </c>
      <c r="D15" s="48"/>
      <c r="E15" s="48"/>
      <c r="F15" s="48"/>
    </row>
    <row r="16" spans="1:6" ht="56" customHeight="1" x14ac:dyDescent="0.45">
      <c r="A16" s="24">
        <v>2</v>
      </c>
      <c r="B16" s="14" t="s">
        <v>46</v>
      </c>
      <c r="C16" s="48" t="s">
        <v>51</v>
      </c>
      <c r="D16" s="48"/>
      <c r="E16" s="48"/>
      <c r="F16" s="48"/>
    </row>
    <row r="17" spans="1:6" ht="56" customHeight="1" x14ac:dyDescent="0.45">
      <c r="A17" s="25">
        <v>1</v>
      </c>
      <c r="B17" s="26" t="s">
        <v>48</v>
      </c>
      <c r="C17" s="48" t="s">
        <v>52</v>
      </c>
      <c r="D17" s="48"/>
      <c r="E17" s="48"/>
      <c r="F17" s="48"/>
    </row>
    <row r="18" spans="1:6" ht="10" customHeight="1" x14ac:dyDescent="0.35"/>
    <row r="19" spans="1:6" ht="26" customHeight="1" x14ac:dyDescent="0.35">
      <c r="A19" s="51" t="s">
        <v>53</v>
      </c>
      <c r="B19" s="46"/>
      <c r="C19" s="46"/>
      <c r="D19" s="46"/>
      <c r="E19" s="46"/>
      <c r="F19" s="46"/>
    </row>
    <row r="20" spans="1:6" ht="26" customHeight="1" x14ac:dyDescent="0.35">
      <c r="A20" s="19" t="s">
        <v>40</v>
      </c>
      <c r="B20" s="19" t="s">
        <v>41</v>
      </c>
      <c r="C20" s="47" t="s">
        <v>42</v>
      </c>
      <c r="D20" s="47"/>
      <c r="E20" s="47"/>
      <c r="F20" s="47"/>
    </row>
    <row r="21" spans="1:6" ht="56" customHeight="1" x14ac:dyDescent="0.45">
      <c r="A21" s="20">
        <v>5</v>
      </c>
      <c r="B21" s="21" t="s">
        <v>43</v>
      </c>
      <c r="C21" s="48" t="s">
        <v>128</v>
      </c>
      <c r="D21" s="48"/>
      <c r="E21" s="48"/>
      <c r="F21" s="48"/>
    </row>
    <row r="22" spans="1:6" ht="56" customHeight="1" x14ac:dyDescent="0.45">
      <c r="A22" s="22">
        <v>4</v>
      </c>
      <c r="B22" s="9" t="s">
        <v>44</v>
      </c>
      <c r="C22" s="48" t="s">
        <v>126</v>
      </c>
      <c r="D22" s="48"/>
      <c r="E22" s="48"/>
      <c r="F22" s="48"/>
    </row>
    <row r="23" spans="1:6" ht="56" customHeight="1" x14ac:dyDescent="0.45">
      <c r="A23" s="23">
        <v>3</v>
      </c>
      <c r="B23" s="12" t="s">
        <v>45</v>
      </c>
      <c r="C23" s="48" t="s">
        <v>127</v>
      </c>
      <c r="D23" s="48"/>
      <c r="E23" s="48"/>
      <c r="F23" s="48"/>
    </row>
    <row r="24" spans="1:6" ht="56" customHeight="1" x14ac:dyDescent="0.45">
      <c r="A24" s="24">
        <v>2</v>
      </c>
      <c r="B24" s="14" t="s">
        <v>46</v>
      </c>
      <c r="C24" s="48" t="s">
        <v>54</v>
      </c>
      <c r="D24" s="48"/>
      <c r="E24" s="48"/>
      <c r="F24" s="48"/>
    </row>
    <row r="25" spans="1:6" ht="56" customHeight="1" x14ac:dyDescent="0.45">
      <c r="A25" s="25">
        <v>1</v>
      </c>
      <c r="B25" s="26" t="s">
        <v>48</v>
      </c>
      <c r="C25" s="48" t="s">
        <v>55</v>
      </c>
      <c r="D25" s="48"/>
      <c r="E25" s="48"/>
      <c r="F25" s="48"/>
    </row>
    <row r="26" spans="1:6" ht="10" customHeight="1" x14ac:dyDescent="0.35"/>
    <row r="27" spans="1:6" ht="26" customHeight="1" x14ac:dyDescent="0.35">
      <c r="A27" s="50" t="s">
        <v>56</v>
      </c>
      <c r="B27" s="46"/>
      <c r="C27" s="46"/>
      <c r="D27" s="46"/>
      <c r="E27" s="46"/>
      <c r="F27" s="46"/>
    </row>
    <row r="28" spans="1:6" ht="26" customHeight="1" x14ac:dyDescent="0.35">
      <c r="A28" s="19" t="s">
        <v>40</v>
      </c>
      <c r="B28" s="19" t="s">
        <v>41</v>
      </c>
      <c r="C28" s="47" t="s">
        <v>42</v>
      </c>
      <c r="D28" s="47"/>
      <c r="E28" s="47"/>
      <c r="F28" s="47"/>
    </row>
    <row r="29" spans="1:6" ht="56" customHeight="1" x14ac:dyDescent="0.45">
      <c r="A29" s="20">
        <v>5</v>
      </c>
      <c r="B29" s="21" t="s">
        <v>43</v>
      </c>
      <c r="C29" s="48" t="s">
        <v>116</v>
      </c>
      <c r="D29" s="48"/>
      <c r="E29" s="48"/>
      <c r="F29" s="48"/>
    </row>
    <row r="30" spans="1:6" ht="56" customHeight="1" x14ac:dyDescent="0.45">
      <c r="A30" s="22">
        <v>4</v>
      </c>
      <c r="B30" s="9" t="s">
        <v>44</v>
      </c>
      <c r="C30" s="48" t="s">
        <v>115</v>
      </c>
      <c r="D30" s="48"/>
      <c r="E30" s="48"/>
      <c r="F30" s="48"/>
    </row>
    <row r="31" spans="1:6" ht="78.5" customHeight="1" x14ac:dyDescent="0.45">
      <c r="A31" s="23">
        <v>3</v>
      </c>
      <c r="B31" s="12" t="s">
        <v>45</v>
      </c>
      <c r="C31" s="48" t="s">
        <v>114</v>
      </c>
      <c r="D31" s="48"/>
      <c r="E31" s="48"/>
      <c r="F31" s="48"/>
    </row>
    <row r="32" spans="1:6" ht="56" customHeight="1" x14ac:dyDescent="0.45">
      <c r="A32" s="24">
        <v>2</v>
      </c>
      <c r="B32" s="14" t="s">
        <v>46</v>
      </c>
      <c r="C32" s="48" t="s">
        <v>57</v>
      </c>
      <c r="D32" s="48"/>
      <c r="E32" s="48"/>
      <c r="F32" s="48"/>
    </row>
    <row r="33" spans="1:6" ht="56" customHeight="1" x14ac:dyDescent="0.45">
      <c r="A33" s="25">
        <v>1</v>
      </c>
      <c r="B33" s="26" t="s">
        <v>48</v>
      </c>
      <c r="C33" s="48" t="s">
        <v>58</v>
      </c>
      <c r="D33" s="48"/>
      <c r="E33" s="48"/>
      <c r="F33" s="48"/>
    </row>
    <row r="34" spans="1:6" ht="10" customHeight="1" x14ac:dyDescent="0.35"/>
    <row r="35" spans="1:6" ht="26" customHeight="1" x14ac:dyDescent="0.35">
      <c r="A35" s="49" t="s">
        <v>59</v>
      </c>
      <c r="B35" s="46"/>
      <c r="C35" s="46"/>
      <c r="D35" s="46"/>
      <c r="E35" s="46"/>
      <c r="F35" s="46"/>
    </row>
    <row r="36" spans="1:6" ht="26" customHeight="1" x14ac:dyDescent="0.35">
      <c r="A36" s="19" t="s">
        <v>40</v>
      </c>
      <c r="B36" s="19" t="s">
        <v>41</v>
      </c>
      <c r="C36" s="47" t="s">
        <v>42</v>
      </c>
      <c r="D36" s="47"/>
      <c r="E36" s="47"/>
      <c r="F36" s="47"/>
    </row>
    <row r="37" spans="1:6" ht="56" customHeight="1" x14ac:dyDescent="0.45">
      <c r="A37" s="20">
        <v>5</v>
      </c>
      <c r="B37" s="21" t="s">
        <v>43</v>
      </c>
      <c r="C37" s="48" t="s">
        <v>60</v>
      </c>
      <c r="D37" s="48"/>
      <c r="E37" s="48"/>
      <c r="F37" s="48"/>
    </row>
    <row r="38" spans="1:6" ht="56" customHeight="1" x14ac:dyDescent="0.45">
      <c r="A38" s="22">
        <v>4</v>
      </c>
      <c r="B38" s="9" t="s">
        <v>44</v>
      </c>
      <c r="C38" s="48" t="s">
        <v>61</v>
      </c>
      <c r="D38" s="48"/>
      <c r="E38" s="48"/>
      <c r="F38" s="48"/>
    </row>
    <row r="39" spans="1:6" ht="56" customHeight="1" x14ac:dyDescent="0.45">
      <c r="A39" s="23">
        <v>3</v>
      </c>
      <c r="B39" s="12" t="s">
        <v>45</v>
      </c>
      <c r="C39" s="48" t="s">
        <v>62</v>
      </c>
      <c r="D39" s="48"/>
      <c r="E39" s="48"/>
      <c r="F39" s="48"/>
    </row>
    <row r="40" spans="1:6" ht="56" customHeight="1" x14ac:dyDescent="0.45">
      <c r="A40" s="24">
        <v>2</v>
      </c>
      <c r="B40" s="14" t="s">
        <v>46</v>
      </c>
      <c r="C40" s="48" t="s">
        <v>63</v>
      </c>
      <c r="D40" s="48"/>
      <c r="E40" s="48"/>
      <c r="F40" s="48"/>
    </row>
    <row r="41" spans="1:6" ht="56" customHeight="1" x14ac:dyDescent="0.45">
      <c r="A41" s="25">
        <v>1</v>
      </c>
      <c r="B41" s="26" t="s">
        <v>48</v>
      </c>
      <c r="C41" s="48" t="s">
        <v>64</v>
      </c>
      <c r="D41" s="48"/>
      <c r="E41" s="48"/>
      <c r="F41" s="48"/>
    </row>
    <row r="42" spans="1:6" ht="10" customHeight="1" x14ac:dyDescent="0.35"/>
  </sheetData>
  <mergeCells count="36">
    <mergeCell ref="C14:F14"/>
    <mergeCell ref="A1:F1"/>
    <mergeCell ref="A3:F3"/>
    <mergeCell ref="C4:F4"/>
    <mergeCell ref="C5:F5"/>
    <mergeCell ref="C6:F6"/>
    <mergeCell ref="C7:F7"/>
    <mergeCell ref="C8:F8"/>
    <mergeCell ref="C9:F9"/>
    <mergeCell ref="A11:F11"/>
    <mergeCell ref="C12:F12"/>
    <mergeCell ref="C13:F13"/>
    <mergeCell ref="C28:F28"/>
    <mergeCell ref="C15:F15"/>
    <mergeCell ref="C16:F16"/>
    <mergeCell ref="C17:F17"/>
    <mergeCell ref="A19:F19"/>
    <mergeCell ref="C20:F20"/>
    <mergeCell ref="C21:F21"/>
    <mergeCell ref="C22:F22"/>
    <mergeCell ref="C23:F23"/>
    <mergeCell ref="C24:F24"/>
    <mergeCell ref="C25:F25"/>
    <mergeCell ref="A27:F27"/>
    <mergeCell ref="C41:F41"/>
    <mergeCell ref="C29:F29"/>
    <mergeCell ref="C30:F30"/>
    <mergeCell ref="C31:F31"/>
    <mergeCell ref="C32:F32"/>
    <mergeCell ref="C33:F33"/>
    <mergeCell ref="A35:F35"/>
    <mergeCell ref="C36:F36"/>
    <mergeCell ref="C37:F37"/>
    <mergeCell ref="C38:F38"/>
    <mergeCell ref="C39:F39"/>
    <mergeCell ref="C40:F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CD59-6791-4613-918D-E6F150C09924}">
  <sheetPr>
    <tabColor rgb="FF006100"/>
  </sheetPr>
  <dimension ref="A1:G18"/>
  <sheetViews>
    <sheetView workbookViewId="0">
      <selection sqref="A1:G1"/>
    </sheetView>
  </sheetViews>
  <sheetFormatPr defaultRowHeight="14.5" x14ac:dyDescent="0.35"/>
  <cols>
    <col min="1" max="1" width="6.6328125" customWidth="1"/>
    <col min="2" max="2" width="18.6328125" customWidth="1"/>
    <col min="3" max="3" width="10.6328125" customWidth="1"/>
    <col min="4" max="4" width="44.6328125" customWidth="1"/>
    <col min="5" max="5" width="34.6328125" customWidth="1"/>
    <col min="6" max="6" width="20.6328125" customWidth="1"/>
    <col min="7" max="7" width="14.6328125" customWidth="1"/>
  </cols>
  <sheetData>
    <row r="1" spans="1:7" ht="32" customHeight="1" x14ac:dyDescent="0.4">
      <c r="A1" s="43" t="s">
        <v>65</v>
      </c>
      <c r="B1" s="44"/>
      <c r="C1" s="44"/>
      <c r="D1" s="44"/>
      <c r="E1" s="44"/>
      <c r="F1" s="44"/>
      <c r="G1" s="44"/>
    </row>
    <row r="2" spans="1:7" ht="36" customHeight="1" x14ac:dyDescent="0.35">
      <c r="A2" s="27" t="s">
        <v>66</v>
      </c>
      <c r="B2" s="4" t="s">
        <v>4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</row>
    <row r="3" spans="1:7" s="31" customFormat="1" ht="30" customHeight="1" x14ac:dyDescent="0.35">
      <c r="A3" s="29" t="s">
        <v>17</v>
      </c>
      <c r="B3" s="30" t="s">
        <v>72</v>
      </c>
      <c r="C3" s="31" t="s">
        <v>73</v>
      </c>
      <c r="D3" s="32" t="s">
        <v>74</v>
      </c>
      <c r="E3" s="33" t="s">
        <v>75</v>
      </c>
      <c r="G3" s="34">
        <v>3</v>
      </c>
    </row>
    <row r="4" spans="1:7" ht="30" customHeight="1" x14ac:dyDescent="0.35">
      <c r="A4" s="9" t="s">
        <v>17</v>
      </c>
      <c r="B4" s="8" t="s">
        <v>72</v>
      </c>
      <c r="C4" t="s">
        <v>73</v>
      </c>
      <c r="D4" s="7" t="s">
        <v>76</v>
      </c>
      <c r="E4" s="18" t="s">
        <v>77</v>
      </c>
      <c r="F4" s="6"/>
      <c r="G4" s="28">
        <v>3</v>
      </c>
    </row>
    <row r="5" spans="1:7" s="31" customFormat="1" ht="30" customHeight="1" x14ac:dyDescent="0.35">
      <c r="A5" s="29" t="s">
        <v>17</v>
      </c>
      <c r="B5" s="30" t="s">
        <v>72</v>
      </c>
      <c r="C5" s="31" t="s">
        <v>78</v>
      </c>
      <c r="D5" s="32" t="s">
        <v>79</v>
      </c>
      <c r="E5" s="33" t="s">
        <v>80</v>
      </c>
      <c r="G5" s="34">
        <v>3</v>
      </c>
    </row>
    <row r="6" spans="1:7" ht="30" customHeight="1" x14ac:dyDescent="0.35">
      <c r="A6" s="9" t="s">
        <v>17</v>
      </c>
      <c r="B6" s="8" t="s">
        <v>72</v>
      </c>
      <c r="C6" t="s">
        <v>81</v>
      </c>
      <c r="D6" s="7" t="s">
        <v>82</v>
      </c>
      <c r="E6" s="18" t="s">
        <v>83</v>
      </c>
      <c r="F6" s="6"/>
      <c r="G6" s="35" t="s">
        <v>84</v>
      </c>
    </row>
    <row r="7" spans="1:7" s="31" customFormat="1" ht="30" customHeight="1" x14ac:dyDescent="0.35">
      <c r="A7" s="29" t="s">
        <v>17</v>
      </c>
      <c r="B7" s="30" t="s">
        <v>72</v>
      </c>
      <c r="C7" s="31" t="s">
        <v>81</v>
      </c>
      <c r="D7" s="32" t="s">
        <v>85</v>
      </c>
      <c r="E7" s="33" t="s">
        <v>86</v>
      </c>
      <c r="G7" s="34" t="s">
        <v>84</v>
      </c>
    </row>
    <row r="8" spans="1:7" ht="30" customHeight="1" x14ac:dyDescent="0.35">
      <c r="A8" s="12" t="s">
        <v>19</v>
      </c>
      <c r="B8" s="11" t="s">
        <v>87</v>
      </c>
      <c r="C8" t="s">
        <v>78</v>
      </c>
      <c r="D8" s="7" t="s">
        <v>88</v>
      </c>
      <c r="E8" s="18" t="s">
        <v>89</v>
      </c>
      <c r="F8" s="6"/>
      <c r="G8" s="28">
        <v>3</v>
      </c>
    </row>
    <row r="9" spans="1:7" s="31" customFormat="1" ht="30" customHeight="1" x14ac:dyDescent="0.35">
      <c r="A9" s="36" t="s">
        <v>19</v>
      </c>
      <c r="B9" s="37" t="s">
        <v>87</v>
      </c>
      <c r="C9" s="31" t="s">
        <v>81</v>
      </c>
      <c r="D9" s="32" t="s">
        <v>90</v>
      </c>
      <c r="E9" s="33" t="s">
        <v>91</v>
      </c>
      <c r="G9" s="34" t="s">
        <v>84</v>
      </c>
    </row>
    <row r="10" spans="1:7" ht="30" customHeight="1" x14ac:dyDescent="0.35">
      <c r="A10" s="12" t="s">
        <v>21</v>
      </c>
      <c r="B10" s="11" t="s">
        <v>92</v>
      </c>
      <c r="C10" t="s">
        <v>78</v>
      </c>
      <c r="D10" s="7" t="s">
        <v>93</v>
      </c>
      <c r="E10" s="18" t="s">
        <v>94</v>
      </c>
      <c r="F10" s="6"/>
      <c r="G10" s="28">
        <v>3</v>
      </c>
    </row>
    <row r="11" spans="1:7" s="31" customFormat="1" ht="30" customHeight="1" x14ac:dyDescent="0.35">
      <c r="A11" s="38" t="s">
        <v>24</v>
      </c>
      <c r="B11" s="39" t="s">
        <v>95</v>
      </c>
      <c r="C11" s="31" t="s">
        <v>96</v>
      </c>
      <c r="D11" s="32" t="s">
        <v>97</v>
      </c>
      <c r="E11" s="33" t="s">
        <v>98</v>
      </c>
      <c r="G11" s="34">
        <v>3</v>
      </c>
    </row>
    <row r="12" spans="1:7" ht="30" customHeight="1" x14ac:dyDescent="0.35">
      <c r="A12" s="14" t="s">
        <v>24</v>
      </c>
      <c r="B12" s="13" t="s">
        <v>95</v>
      </c>
      <c r="C12" t="s">
        <v>73</v>
      </c>
      <c r="D12" s="7" t="s">
        <v>99</v>
      </c>
      <c r="E12" s="18" t="s">
        <v>77</v>
      </c>
      <c r="F12" s="6"/>
      <c r="G12" s="28">
        <v>3</v>
      </c>
    </row>
    <row r="13" spans="1:7" s="31" customFormat="1" ht="30" customHeight="1" x14ac:dyDescent="0.35">
      <c r="A13" s="38" t="s">
        <v>24</v>
      </c>
      <c r="B13" s="39" t="s">
        <v>95</v>
      </c>
      <c r="C13" s="31" t="s">
        <v>78</v>
      </c>
      <c r="D13" s="32" t="s">
        <v>100</v>
      </c>
      <c r="E13" s="33" t="s">
        <v>101</v>
      </c>
      <c r="G13" s="34">
        <v>3</v>
      </c>
    </row>
    <row r="14" spans="1:7" ht="30" customHeight="1" x14ac:dyDescent="0.35">
      <c r="A14" s="14" t="s">
        <v>24</v>
      </c>
      <c r="B14" s="13" t="s">
        <v>95</v>
      </c>
      <c r="C14" t="s">
        <v>81</v>
      </c>
      <c r="D14" s="7" t="s">
        <v>102</v>
      </c>
      <c r="E14" s="18" t="s">
        <v>14</v>
      </c>
      <c r="F14" s="6"/>
      <c r="G14" s="35" t="s">
        <v>84</v>
      </c>
    </row>
    <row r="15" spans="1:7" s="31" customFormat="1" ht="30" customHeight="1" x14ac:dyDescent="0.35">
      <c r="A15" s="40" t="s">
        <v>27</v>
      </c>
      <c r="B15" s="41" t="s">
        <v>103</v>
      </c>
      <c r="C15" s="31" t="s">
        <v>78</v>
      </c>
      <c r="D15" s="32" t="s">
        <v>104</v>
      </c>
      <c r="E15" s="33" t="s">
        <v>105</v>
      </c>
      <c r="G15" s="34">
        <v>3</v>
      </c>
    </row>
    <row r="16" spans="1:7" ht="30" customHeight="1" x14ac:dyDescent="0.35">
      <c r="A16" s="16" t="s">
        <v>27</v>
      </c>
      <c r="B16" s="15" t="s">
        <v>103</v>
      </c>
      <c r="C16" t="s">
        <v>78</v>
      </c>
      <c r="D16" s="7" t="s">
        <v>106</v>
      </c>
      <c r="E16" s="18" t="s">
        <v>101</v>
      </c>
      <c r="F16" s="6"/>
      <c r="G16" s="28">
        <v>3</v>
      </c>
    </row>
    <row r="17" spans="1:7" s="31" customFormat="1" ht="30" customHeight="1" x14ac:dyDescent="0.35">
      <c r="A17" s="40" t="s">
        <v>27</v>
      </c>
      <c r="B17" s="41" t="s">
        <v>103</v>
      </c>
      <c r="C17" s="31" t="s">
        <v>107</v>
      </c>
      <c r="D17" s="32" t="s">
        <v>108</v>
      </c>
      <c r="E17" s="33" t="s">
        <v>109</v>
      </c>
      <c r="G17" s="34" t="s">
        <v>84</v>
      </c>
    </row>
    <row r="18" spans="1:7" x14ac:dyDescent="0.35">
      <c r="A18" s="42" t="s">
        <v>110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Dashboard</vt:lpstr>
      <vt:lpstr>Scoring Criteria</vt:lpstr>
      <vt:lpstr>Evidence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Sowan Yuthyuenyong</dc:creator>
  <cp:lastModifiedBy>Sowan Yuthyuenyong</cp:lastModifiedBy>
  <dcterms:created xsi:type="dcterms:W3CDTF">2026-05-16T10:15:54Z</dcterms:created>
  <dcterms:modified xsi:type="dcterms:W3CDTF">2026-05-16T11:01:50Z</dcterms:modified>
</cp:coreProperties>
</file>